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71ed4c53e92071/Documents/"/>
    </mc:Choice>
  </mc:AlternateContent>
  <xr:revisionPtr revIDLastSave="1" documentId="11_C9FF8C1F07493FBEB01E568C6B0F3CF27EB63F19" xr6:coauthVersionLast="47" xr6:coauthVersionMax="47" xr10:uidLastSave="{18687A01-4EF1-4C45-8029-2AC2BE52A066}"/>
  <bookViews>
    <workbookView xWindow="-98" yWindow="-98" windowWidth="22695" windowHeight="14476" activeTab="1" xr2:uid="{00000000-000D-0000-FFFF-FFFF00000000}"/>
  </bookViews>
  <sheets>
    <sheet name="How to Schedule" sheetId="1" r:id="rId1"/>
    <sheet name="Ground Schedule" sheetId="2" r:id="rId2"/>
    <sheet name="Leather Payment Tracker" sheetId="3" r:id="rId3"/>
    <sheet name="Read Me" sheetId="4" r:id="rId4"/>
    <sheet name="Tournament Lists" sheetId="5" r:id="rId5"/>
    <sheet name="Tournament Teams" sheetId="6" r:id="rId6"/>
    <sheet name="Round Robin Fixtures" sheetId="7" r:id="rId7"/>
    <sheet name="Previous Payment Tracker" sheetId="8" r:id="rId8"/>
  </sheets>
  <definedNames>
    <definedName name="_xlnm._FilterDatabase" localSheetId="1" hidden="1">'Ground Schedule'!$A$4:$R$68</definedName>
    <definedName name="_xlnm._FilterDatabase" localSheetId="2" hidden="1">'Leather Payment Tracker'!$A$3:$J$483</definedName>
    <definedName name="_xlnm._FilterDatabase" localSheetId="7" hidden="1">'Previous Payment Tracker'!$A$3:$J$120</definedName>
    <definedName name="_xlnm._FilterDatabase" localSheetId="6" hidden="1">'Round Robin Fixtures'!$A$3:$M$78</definedName>
    <definedName name="_xlnm.Print_Titles" localSheetId="1">'Ground Schedule'!$1:$4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0" i="8" l="1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A483" i="3"/>
  <c r="A482" i="3"/>
  <c r="B482" i="3" s="1"/>
  <c r="A481" i="3"/>
  <c r="A480" i="3"/>
  <c r="B480" i="3" s="1"/>
  <c r="A479" i="3"/>
  <c r="A478" i="3"/>
  <c r="D478" i="3" s="1"/>
  <c r="G478" i="3" s="1"/>
  <c r="A477" i="3"/>
  <c r="A476" i="3"/>
  <c r="A475" i="3"/>
  <c r="A474" i="3"/>
  <c r="A473" i="3"/>
  <c r="D473" i="3" s="1"/>
  <c r="E473" i="3" s="1"/>
  <c r="A472" i="3"/>
  <c r="D472" i="3" s="1"/>
  <c r="E472" i="3" s="1"/>
  <c r="A471" i="3"/>
  <c r="A470" i="3"/>
  <c r="A469" i="3"/>
  <c r="A468" i="3"/>
  <c r="B468" i="3" s="1"/>
  <c r="A467" i="3"/>
  <c r="B467" i="3" s="1"/>
  <c r="A466" i="3"/>
  <c r="C466" i="3" s="1"/>
  <c r="A465" i="3"/>
  <c r="D465" i="3" s="1"/>
  <c r="G465" i="3" s="1"/>
  <c r="A464" i="3"/>
  <c r="B464" i="3" s="1"/>
  <c r="A463" i="3"/>
  <c r="D463" i="3" s="1"/>
  <c r="G463" i="3" s="1"/>
  <c r="A462" i="3"/>
  <c r="A461" i="3"/>
  <c r="D461" i="3" s="1"/>
  <c r="A460" i="3"/>
  <c r="A459" i="3"/>
  <c r="D459" i="3" s="1"/>
  <c r="E459" i="3" s="1"/>
  <c r="A458" i="3"/>
  <c r="A457" i="3"/>
  <c r="C457" i="3" s="1"/>
  <c r="A456" i="3"/>
  <c r="C456" i="3" s="1"/>
  <c r="A455" i="3"/>
  <c r="D455" i="3" s="1"/>
  <c r="G455" i="3" s="1"/>
  <c r="A454" i="3"/>
  <c r="B454" i="3" s="1"/>
  <c r="A453" i="3"/>
  <c r="D452" i="3"/>
  <c r="G452" i="3" s="1"/>
  <c r="C452" i="3"/>
  <c r="A452" i="3"/>
  <c r="B452" i="3" s="1"/>
  <c r="A451" i="3"/>
  <c r="C451" i="3" s="1"/>
  <c r="A450" i="3"/>
  <c r="A449" i="3"/>
  <c r="B449" i="3" s="1"/>
  <c r="A448" i="3"/>
  <c r="A447" i="3"/>
  <c r="D447" i="3" s="1"/>
  <c r="A446" i="3"/>
  <c r="D446" i="3" s="1"/>
  <c r="A445" i="3"/>
  <c r="C445" i="3" s="1"/>
  <c r="A444" i="3"/>
  <c r="D444" i="3" s="1"/>
  <c r="E444" i="3" s="1"/>
  <c r="A443" i="3"/>
  <c r="A442" i="3"/>
  <c r="D442" i="3" s="1"/>
  <c r="A441" i="3"/>
  <c r="A440" i="3"/>
  <c r="B440" i="3" s="1"/>
  <c r="A439" i="3"/>
  <c r="A438" i="3"/>
  <c r="C438" i="3" s="1"/>
  <c r="A437" i="3"/>
  <c r="D437" i="3" s="1"/>
  <c r="A436" i="3"/>
  <c r="A435" i="3"/>
  <c r="D435" i="3" s="1"/>
  <c r="A434" i="3"/>
  <c r="A433" i="3"/>
  <c r="C433" i="3" s="1"/>
  <c r="A432" i="3"/>
  <c r="B432" i="3" s="1"/>
  <c r="A431" i="3"/>
  <c r="B431" i="3" s="1"/>
  <c r="A430" i="3"/>
  <c r="A429" i="3"/>
  <c r="D429" i="3" s="1"/>
  <c r="A428" i="3"/>
  <c r="A427" i="3"/>
  <c r="B427" i="3" s="1"/>
  <c r="A426" i="3"/>
  <c r="C426" i="3" s="1"/>
  <c r="A425" i="3"/>
  <c r="A424" i="3"/>
  <c r="C424" i="3" s="1"/>
  <c r="A423" i="3"/>
  <c r="D423" i="3" s="1"/>
  <c r="A422" i="3"/>
  <c r="A421" i="3"/>
  <c r="C421" i="3" s="1"/>
  <c r="A420" i="3"/>
  <c r="B420" i="3" s="1"/>
  <c r="A419" i="3"/>
  <c r="A418" i="3"/>
  <c r="A417" i="3"/>
  <c r="A416" i="3"/>
  <c r="C416" i="3" s="1"/>
  <c r="A415" i="3"/>
  <c r="B415" i="3" s="1"/>
  <c r="A414" i="3"/>
  <c r="A413" i="3"/>
  <c r="C413" i="3" s="1"/>
  <c r="A412" i="3"/>
  <c r="A411" i="3"/>
  <c r="D411" i="3" s="1"/>
  <c r="A410" i="3"/>
  <c r="A409" i="3"/>
  <c r="C409" i="3" s="1"/>
  <c r="A408" i="3"/>
  <c r="B408" i="3" s="1"/>
  <c r="A407" i="3"/>
  <c r="B407" i="3" s="1"/>
  <c r="A406" i="3"/>
  <c r="C406" i="3" s="1"/>
  <c r="A405" i="3"/>
  <c r="C405" i="3" s="1"/>
  <c r="A404" i="3"/>
  <c r="A403" i="3"/>
  <c r="A402" i="3"/>
  <c r="B402" i="3" s="1"/>
  <c r="A401" i="3"/>
  <c r="D401" i="3" s="1"/>
  <c r="G401" i="3" s="1"/>
  <c r="A400" i="3"/>
  <c r="A399" i="3"/>
  <c r="D399" i="3" s="1"/>
  <c r="A398" i="3"/>
  <c r="B398" i="3" s="1"/>
  <c r="A397" i="3"/>
  <c r="C397" i="3" s="1"/>
  <c r="A396" i="3"/>
  <c r="A395" i="3"/>
  <c r="A394" i="3"/>
  <c r="A393" i="3"/>
  <c r="D393" i="3" s="1"/>
  <c r="G393" i="3" s="1"/>
  <c r="A392" i="3"/>
  <c r="A391" i="3"/>
  <c r="B391" i="3" s="1"/>
  <c r="A390" i="3"/>
  <c r="A389" i="3"/>
  <c r="D389" i="3" s="1"/>
  <c r="G389" i="3" s="1"/>
  <c r="A388" i="3"/>
  <c r="A387" i="3"/>
  <c r="D387" i="3" s="1"/>
  <c r="A386" i="3"/>
  <c r="A385" i="3"/>
  <c r="A384" i="3"/>
  <c r="B384" i="3" s="1"/>
  <c r="A383" i="3"/>
  <c r="D383" i="3" s="1"/>
  <c r="G383" i="3" s="1"/>
  <c r="A382" i="3"/>
  <c r="B382" i="3" s="1"/>
  <c r="A381" i="3"/>
  <c r="D381" i="3" s="1"/>
  <c r="A380" i="3"/>
  <c r="B380" i="3" s="1"/>
  <c r="A379" i="3"/>
  <c r="A378" i="3"/>
  <c r="A377" i="3"/>
  <c r="B377" i="3" s="1"/>
  <c r="A376" i="3"/>
  <c r="A375" i="3"/>
  <c r="B375" i="3" s="1"/>
  <c r="A374" i="3"/>
  <c r="A373" i="3"/>
  <c r="A372" i="3"/>
  <c r="B372" i="3" s="1"/>
  <c r="A371" i="3"/>
  <c r="B371" i="3" s="1"/>
  <c r="A370" i="3"/>
  <c r="D370" i="3" s="1"/>
  <c r="A369" i="3"/>
  <c r="D369" i="3" s="1"/>
  <c r="G369" i="3" s="1"/>
  <c r="A368" i="3"/>
  <c r="D368" i="3" s="1"/>
  <c r="G368" i="3" s="1"/>
  <c r="A367" i="3"/>
  <c r="C367" i="3" s="1"/>
  <c r="A366" i="3"/>
  <c r="A365" i="3"/>
  <c r="C365" i="3" s="1"/>
  <c r="A364" i="3"/>
  <c r="C364" i="3" s="1"/>
  <c r="A363" i="3"/>
  <c r="A362" i="3"/>
  <c r="B362" i="3" s="1"/>
  <c r="A361" i="3"/>
  <c r="A360" i="3"/>
  <c r="A359" i="3"/>
  <c r="B359" i="3" s="1"/>
  <c r="A358" i="3"/>
  <c r="A357" i="3"/>
  <c r="D357" i="3" s="1"/>
  <c r="A356" i="3"/>
  <c r="C356" i="3" s="1"/>
  <c r="A355" i="3"/>
  <c r="D355" i="3" s="1"/>
  <c r="A354" i="3"/>
  <c r="A353" i="3"/>
  <c r="A352" i="3"/>
  <c r="A351" i="3"/>
  <c r="A350" i="3"/>
  <c r="A349" i="3"/>
  <c r="C349" i="3" s="1"/>
  <c r="A348" i="3"/>
  <c r="D348" i="3" s="1"/>
  <c r="A347" i="3"/>
  <c r="D347" i="3" s="1"/>
  <c r="A346" i="3"/>
  <c r="A345" i="3"/>
  <c r="A344" i="3"/>
  <c r="A343" i="3"/>
  <c r="A342" i="3"/>
  <c r="C342" i="3" s="1"/>
  <c r="A341" i="3"/>
  <c r="D341" i="3" s="1"/>
  <c r="A340" i="3"/>
  <c r="D340" i="3" s="1"/>
  <c r="A339" i="3"/>
  <c r="C339" i="3" s="1"/>
  <c r="A338" i="3"/>
  <c r="B338" i="3" s="1"/>
  <c r="A337" i="3"/>
  <c r="C337" i="3" s="1"/>
  <c r="A336" i="3"/>
  <c r="A335" i="3"/>
  <c r="D335" i="3" s="1"/>
  <c r="G335" i="3" s="1"/>
  <c r="A334" i="3"/>
  <c r="A333" i="3"/>
  <c r="A332" i="3"/>
  <c r="B332" i="3" s="1"/>
  <c r="A331" i="3"/>
  <c r="D331" i="3" s="1"/>
  <c r="A330" i="3"/>
  <c r="C330" i="3" s="1"/>
  <c r="A329" i="3"/>
  <c r="B329" i="3" s="1"/>
  <c r="A328" i="3"/>
  <c r="B328" i="3" s="1"/>
  <c r="A327" i="3"/>
  <c r="A326" i="3"/>
  <c r="D326" i="3" s="1"/>
  <c r="E326" i="3" s="1"/>
  <c r="A325" i="3"/>
  <c r="C325" i="3" s="1"/>
  <c r="A324" i="3"/>
  <c r="D324" i="3" s="1"/>
  <c r="A323" i="3"/>
  <c r="B323" i="3" s="1"/>
  <c r="A322" i="3"/>
  <c r="D322" i="3" s="1"/>
  <c r="A321" i="3"/>
  <c r="D321" i="3" s="1"/>
  <c r="A320" i="3"/>
  <c r="B320" i="3" s="1"/>
  <c r="A319" i="3"/>
  <c r="A318" i="3"/>
  <c r="A317" i="3"/>
  <c r="A316" i="3"/>
  <c r="B316" i="3" s="1"/>
  <c r="A315" i="3"/>
  <c r="D315" i="3" s="1"/>
  <c r="G315" i="3" s="1"/>
  <c r="A314" i="3"/>
  <c r="C314" i="3" s="1"/>
  <c r="A313" i="3"/>
  <c r="D313" i="3" s="1"/>
  <c r="A312" i="3"/>
  <c r="D312" i="3" s="1"/>
  <c r="A311" i="3"/>
  <c r="B311" i="3" s="1"/>
  <c r="A310" i="3"/>
  <c r="B310" i="3" s="1"/>
  <c r="A309" i="3"/>
  <c r="A308" i="3"/>
  <c r="A307" i="3"/>
  <c r="A306" i="3"/>
  <c r="A305" i="3"/>
  <c r="D305" i="3" s="1"/>
  <c r="A304" i="3"/>
  <c r="A303" i="3"/>
  <c r="D303" i="3" s="1"/>
  <c r="A302" i="3"/>
  <c r="C302" i="3" s="1"/>
  <c r="A301" i="3"/>
  <c r="D301" i="3" s="1"/>
  <c r="A300" i="3"/>
  <c r="A299" i="3"/>
  <c r="C299" i="3" s="1"/>
  <c r="A298" i="3"/>
  <c r="B298" i="3" s="1"/>
  <c r="A297" i="3"/>
  <c r="B297" i="3" s="1"/>
  <c r="A296" i="3"/>
  <c r="A295" i="3"/>
  <c r="A294" i="3"/>
  <c r="C294" i="3" s="1"/>
  <c r="A293" i="3"/>
  <c r="A292" i="3"/>
  <c r="D292" i="3" s="1"/>
  <c r="G292" i="3" s="1"/>
  <c r="A291" i="3"/>
  <c r="A290" i="3"/>
  <c r="C290" i="3" s="1"/>
  <c r="A289" i="3"/>
  <c r="D289" i="3" s="1"/>
  <c r="E289" i="3" s="1"/>
  <c r="A288" i="3"/>
  <c r="D288" i="3" s="1"/>
  <c r="A287" i="3"/>
  <c r="B287" i="3" s="1"/>
  <c r="A286" i="3"/>
  <c r="B286" i="3" s="1"/>
  <c r="A285" i="3"/>
  <c r="A284" i="3"/>
  <c r="A283" i="3"/>
  <c r="D283" i="3" s="1"/>
  <c r="A282" i="3"/>
  <c r="D282" i="3" s="1"/>
  <c r="A281" i="3"/>
  <c r="D281" i="3" s="1"/>
  <c r="A280" i="3"/>
  <c r="C280" i="3" s="1"/>
  <c r="A279" i="3"/>
  <c r="D279" i="3" s="1"/>
  <c r="A278" i="3"/>
  <c r="C278" i="3" s="1"/>
  <c r="A277" i="3"/>
  <c r="B277" i="3" s="1"/>
  <c r="A276" i="3"/>
  <c r="A275" i="3"/>
  <c r="B275" i="3" s="1"/>
  <c r="B274" i="3"/>
  <c r="A274" i="3"/>
  <c r="A273" i="3"/>
  <c r="B273" i="3" s="1"/>
  <c r="A272" i="3"/>
  <c r="B272" i="3" s="1"/>
  <c r="A271" i="3"/>
  <c r="D271" i="3" s="1"/>
  <c r="G271" i="3" s="1"/>
  <c r="A270" i="3"/>
  <c r="D270" i="3" s="1"/>
  <c r="A269" i="3"/>
  <c r="D269" i="3" s="1"/>
  <c r="A268" i="3"/>
  <c r="A267" i="3"/>
  <c r="B267" i="3" s="1"/>
  <c r="A266" i="3"/>
  <c r="C266" i="3" s="1"/>
  <c r="A265" i="3"/>
  <c r="D265" i="3" s="1"/>
  <c r="A264" i="3"/>
  <c r="B264" i="3" s="1"/>
  <c r="A263" i="3"/>
  <c r="B263" i="3" s="1"/>
  <c r="A262" i="3"/>
  <c r="D262" i="3" s="1"/>
  <c r="A261" i="3"/>
  <c r="C261" i="3" s="1"/>
  <c r="A260" i="3"/>
  <c r="B260" i="3" s="1"/>
  <c r="A259" i="3"/>
  <c r="D259" i="3" s="1"/>
  <c r="A258" i="3"/>
  <c r="A257" i="3"/>
  <c r="D257" i="3" s="1"/>
  <c r="G257" i="3" s="1"/>
  <c r="A256" i="3"/>
  <c r="C256" i="3" s="1"/>
  <c r="A255" i="3"/>
  <c r="D255" i="3" s="1"/>
  <c r="G255" i="3" s="1"/>
  <c r="A254" i="3"/>
  <c r="B254" i="3" s="1"/>
  <c r="A253" i="3"/>
  <c r="A252" i="3"/>
  <c r="B252" i="3" s="1"/>
  <c r="A251" i="3"/>
  <c r="D251" i="3" s="1"/>
  <c r="A250" i="3"/>
  <c r="B250" i="3" s="1"/>
  <c r="A249" i="3"/>
  <c r="D249" i="3" s="1"/>
  <c r="E249" i="3" s="1"/>
  <c r="A248" i="3"/>
  <c r="A247" i="3"/>
  <c r="C247" i="3" s="1"/>
  <c r="C246" i="3"/>
  <c r="A246" i="3"/>
  <c r="D246" i="3" s="1"/>
  <c r="G246" i="3" s="1"/>
  <c r="A245" i="3"/>
  <c r="A244" i="3"/>
  <c r="B244" i="3" s="1"/>
  <c r="A243" i="3"/>
  <c r="A242" i="3"/>
  <c r="B242" i="3" s="1"/>
  <c r="A241" i="3"/>
  <c r="A240" i="3"/>
  <c r="B240" i="3" s="1"/>
  <c r="A239" i="3"/>
  <c r="A238" i="3"/>
  <c r="D238" i="3" s="1"/>
  <c r="A237" i="3"/>
  <c r="A236" i="3"/>
  <c r="B236" i="3" s="1"/>
  <c r="A235" i="3"/>
  <c r="A234" i="3"/>
  <c r="D234" i="3" s="1"/>
  <c r="A233" i="3"/>
  <c r="A232" i="3"/>
  <c r="A231" i="3"/>
  <c r="D231" i="3" s="1"/>
  <c r="A230" i="3"/>
  <c r="B230" i="3" s="1"/>
  <c r="A229" i="3"/>
  <c r="D229" i="3" s="1"/>
  <c r="E229" i="3" s="1"/>
  <c r="A228" i="3"/>
  <c r="B228" i="3" s="1"/>
  <c r="A227" i="3"/>
  <c r="D227" i="3" s="1"/>
  <c r="E227" i="3" s="1"/>
  <c r="A226" i="3"/>
  <c r="C226" i="3" s="1"/>
  <c r="A225" i="3"/>
  <c r="A224" i="3"/>
  <c r="A223" i="3"/>
  <c r="B223" i="3" s="1"/>
  <c r="A222" i="3"/>
  <c r="B222" i="3" s="1"/>
  <c r="A221" i="3"/>
  <c r="A220" i="3"/>
  <c r="B220" i="3" s="1"/>
  <c r="A219" i="3"/>
  <c r="B219" i="3" s="1"/>
  <c r="A218" i="3"/>
  <c r="A217" i="3"/>
  <c r="C217" i="3" s="1"/>
  <c r="A216" i="3"/>
  <c r="C216" i="3" s="1"/>
  <c r="A215" i="3"/>
  <c r="A214" i="3"/>
  <c r="B214" i="3" s="1"/>
  <c r="A213" i="3"/>
  <c r="A212" i="3"/>
  <c r="C212" i="3" s="1"/>
  <c r="A211" i="3"/>
  <c r="D211" i="3" s="1"/>
  <c r="A210" i="3"/>
  <c r="C210" i="3" s="1"/>
  <c r="A209" i="3"/>
  <c r="D209" i="3" s="1"/>
  <c r="A208" i="3"/>
  <c r="D208" i="3" s="1"/>
  <c r="G208" i="3" s="1"/>
  <c r="A207" i="3"/>
  <c r="D207" i="3" s="1"/>
  <c r="G207" i="3" s="1"/>
  <c r="A206" i="3"/>
  <c r="B206" i="3" s="1"/>
  <c r="A205" i="3"/>
  <c r="A204" i="3"/>
  <c r="A203" i="3"/>
  <c r="D203" i="3" s="1"/>
  <c r="A202" i="3"/>
  <c r="C202" i="3" s="1"/>
  <c r="A201" i="3"/>
  <c r="A200" i="3"/>
  <c r="B200" i="3" s="1"/>
  <c r="A199" i="3"/>
  <c r="A198" i="3"/>
  <c r="D198" i="3" s="1"/>
  <c r="A197" i="3"/>
  <c r="B197" i="3" s="1"/>
  <c r="A196" i="3"/>
  <c r="A195" i="3"/>
  <c r="B195" i="3" s="1"/>
  <c r="A194" i="3"/>
  <c r="C194" i="3" s="1"/>
  <c r="A193" i="3"/>
  <c r="C193" i="3" s="1"/>
  <c r="A192" i="3"/>
  <c r="D192" i="3" s="1"/>
  <c r="A191" i="3"/>
  <c r="C191" i="3" s="1"/>
  <c r="A190" i="3"/>
  <c r="D190" i="3" s="1"/>
  <c r="G190" i="3" s="1"/>
  <c r="A189" i="3"/>
  <c r="A188" i="3"/>
  <c r="D188" i="3" s="1"/>
  <c r="G188" i="3" s="1"/>
  <c r="A187" i="3"/>
  <c r="D187" i="3" s="1"/>
  <c r="A186" i="3"/>
  <c r="A185" i="3"/>
  <c r="A184" i="3"/>
  <c r="A183" i="3"/>
  <c r="D183" i="3" s="1"/>
  <c r="A182" i="3"/>
  <c r="B181" i="3"/>
  <c r="A181" i="3"/>
  <c r="A180" i="3"/>
  <c r="B180" i="3" s="1"/>
  <c r="A179" i="3"/>
  <c r="A178" i="3"/>
  <c r="C178" i="3" s="1"/>
  <c r="A177" i="3"/>
  <c r="B177" i="3" s="1"/>
  <c r="A176" i="3"/>
  <c r="D176" i="3" s="1"/>
  <c r="G176" i="3" s="1"/>
  <c r="A175" i="3"/>
  <c r="A174" i="3"/>
  <c r="A173" i="3"/>
  <c r="C173" i="3" s="1"/>
  <c r="G172" i="3"/>
  <c r="A172" i="3"/>
  <c r="D172" i="3" s="1"/>
  <c r="E172" i="3" s="1"/>
  <c r="A171" i="3"/>
  <c r="B171" i="3" s="1"/>
  <c r="A170" i="3"/>
  <c r="C170" i="3" s="1"/>
  <c r="A169" i="3"/>
  <c r="A168" i="3"/>
  <c r="A167" i="3"/>
  <c r="D167" i="3" s="1"/>
  <c r="A166" i="3"/>
  <c r="D166" i="3" s="1"/>
  <c r="A165" i="3"/>
  <c r="B165" i="3" s="1"/>
  <c r="A164" i="3"/>
  <c r="D164" i="3" s="1"/>
  <c r="A163" i="3"/>
  <c r="A162" i="3"/>
  <c r="D162" i="3" s="1"/>
  <c r="A161" i="3"/>
  <c r="A160" i="3"/>
  <c r="B160" i="3" s="1"/>
  <c r="A159" i="3"/>
  <c r="D159" i="3" s="1"/>
  <c r="G159" i="3" s="1"/>
  <c r="A158" i="3"/>
  <c r="C158" i="3" s="1"/>
  <c r="A157" i="3"/>
  <c r="C157" i="3" s="1"/>
  <c r="A156" i="3"/>
  <c r="A155" i="3"/>
  <c r="C155" i="3" s="1"/>
  <c r="A154" i="3"/>
  <c r="B154" i="3" s="1"/>
  <c r="A153" i="3"/>
  <c r="C153" i="3" s="1"/>
  <c r="A152" i="3"/>
  <c r="B152" i="3" s="1"/>
  <c r="A151" i="3"/>
  <c r="D151" i="3" s="1"/>
  <c r="G151" i="3" s="1"/>
  <c r="A150" i="3"/>
  <c r="B150" i="3" s="1"/>
  <c r="A149" i="3"/>
  <c r="C149" i="3" s="1"/>
  <c r="A148" i="3"/>
  <c r="A147" i="3"/>
  <c r="B147" i="3" s="1"/>
  <c r="A146" i="3"/>
  <c r="C146" i="3" s="1"/>
  <c r="A145" i="3"/>
  <c r="A144" i="3"/>
  <c r="C144" i="3" s="1"/>
  <c r="A143" i="3"/>
  <c r="B143" i="3" s="1"/>
  <c r="A142" i="3"/>
  <c r="B142" i="3" s="1"/>
  <c r="A141" i="3"/>
  <c r="A140" i="3"/>
  <c r="D140" i="3" s="1"/>
  <c r="A139" i="3"/>
  <c r="D139" i="3" s="1"/>
  <c r="A138" i="3"/>
  <c r="D138" i="3" s="1"/>
  <c r="G138" i="3" s="1"/>
  <c r="A137" i="3"/>
  <c r="A136" i="3"/>
  <c r="D136" i="3" s="1"/>
  <c r="G136" i="3" s="1"/>
  <c r="A135" i="3"/>
  <c r="A134" i="3"/>
  <c r="C134" i="3" s="1"/>
  <c r="A133" i="3"/>
  <c r="A132" i="3"/>
  <c r="A131" i="3"/>
  <c r="B131" i="3" s="1"/>
  <c r="A130" i="3"/>
  <c r="A129" i="3"/>
  <c r="A128" i="3"/>
  <c r="A127" i="3"/>
  <c r="A126" i="3"/>
  <c r="B126" i="3" s="1"/>
  <c r="A125" i="3"/>
  <c r="A124" i="3"/>
  <c r="D124" i="3" s="1"/>
  <c r="A123" i="3"/>
  <c r="C123" i="3" s="1"/>
  <c r="A122" i="3"/>
  <c r="D122" i="3" s="1"/>
  <c r="A121" i="3"/>
  <c r="B121" i="3" s="1"/>
  <c r="A120" i="3"/>
  <c r="B120" i="3" s="1"/>
  <c r="A119" i="3"/>
  <c r="B119" i="3" s="1"/>
  <c r="A118" i="3"/>
  <c r="A117" i="3"/>
  <c r="B117" i="3" s="1"/>
  <c r="A116" i="3"/>
  <c r="B116" i="3" s="1"/>
  <c r="A115" i="3"/>
  <c r="C115" i="3" s="1"/>
  <c r="A114" i="3"/>
  <c r="A113" i="3"/>
  <c r="B113" i="3" s="1"/>
  <c r="A112" i="3"/>
  <c r="A111" i="3"/>
  <c r="B111" i="3" s="1"/>
  <c r="A110" i="3"/>
  <c r="C110" i="3" s="1"/>
  <c r="A109" i="3"/>
  <c r="A108" i="3"/>
  <c r="C108" i="3" s="1"/>
  <c r="A107" i="3"/>
  <c r="D107" i="3" s="1"/>
  <c r="A106" i="3"/>
  <c r="A105" i="3"/>
  <c r="A104" i="3"/>
  <c r="B104" i="3" s="1"/>
  <c r="A103" i="3"/>
  <c r="B103" i="3" s="1"/>
  <c r="A102" i="3"/>
  <c r="D102" i="3" s="1"/>
  <c r="A101" i="3"/>
  <c r="A100" i="3"/>
  <c r="D100" i="3" s="1"/>
  <c r="A99" i="3"/>
  <c r="A98" i="3"/>
  <c r="C98" i="3" s="1"/>
  <c r="A97" i="3"/>
  <c r="C97" i="3" s="1"/>
  <c r="A96" i="3"/>
  <c r="B96" i="3" s="1"/>
  <c r="A95" i="3"/>
  <c r="A94" i="3"/>
  <c r="C94" i="3" s="1"/>
  <c r="A93" i="3"/>
  <c r="A92" i="3"/>
  <c r="D92" i="3" s="1"/>
  <c r="E92" i="3" s="1"/>
  <c r="A91" i="3"/>
  <c r="B91" i="3" s="1"/>
  <c r="A90" i="3"/>
  <c r="B90" i="3" s="1"/>
  <c r="A89" i="3"/>
  <c r="A88" i="3"/>
  <c r="D88" i="3" s="1"/>
  <c r="G88" i="3" s="1"/>
  <c r="A87" i="3"/>
  <c r="A86" i="3"/>
  <c r="A85" i="3"/>
  <c r="B85" i="3" s="1"/>
  <c r="A84" i="3"/>
  <c r="B84" i="3" s="1"/>
  <c r="A83" i="3"/>
  <c r="B83" i="3" s="1"/>
  <c r="A82" i="3"/>
  <c r="A81" i="3"/>
  <c r="A80" i="3"/>
  <c r="A79" i="3"/>
  <c r="B79" i="3" s="1"/>
  <c r="A78" i="3"/>
  <c r="D78" i="3" s="1"/>
  <c r="A77" i="3"/>
  <c r="D77" i="3" s="1"/>
  <c r="A76" i="3"/>
  <c r="C76" i="3" s="1"/>
  <c r="A75" i="3"/>
  <c r="A74" i="3"/>
  <c r="B74" i="3" s="1"/>
  <c r="D73" i="3"/>
  <c r="G73" i="3" s="1"/>
  <c r="C73" i="3"/>
  <c r="B73" i="3"/>
  <c r="A73" i="3"/>
  <c r="A72" i="3"/>
  <c r="A71" i="3"/>
  <c r="A70" i="3"/>
  <c r="C70" i="3" s="1"/>
  <c r="A69" i="3"/>
  <c r="B69" i="3" s="1"/>
  <c r="A68" i="3"/>
  <c r="C68" i="3" s="1"/>
  <c r="A67" i="3"/>
  <c r="D67" i="3" s="1"/>
  <c r="A66" i="3"/>
  <c r="B66" i="3" s="1"/>
  <c r="A65" i="3"/>
  <c r="C65" i="3" s="1"/>
  <c r="A64" i="3"/>
  <c r="B64" i="3" s="1"/>
  <c r="A63" i="3"/>
  <c r="A62" i="3"/>
  <c r="A61" i="3"/>
  <c r="A60" i="3"/>
  <c r="C60" i="3" s="1"/>
  <c r="A59" i="3"/>
  <c r="A58" i="3"/>
  <c r="A57" i="3"/>
  <c r="D57" i="3" s="1"/>
  <c r="A56" i="3"/>
  <c r="B56" i="3" s="1"/>
  <c r="A55" i="3"/>
  <c r="D55" i="3" s="1"/>
  <c r="A54" i="3"/>
  <c r="A53" i="3"/>
  <c r="A52" i="3"/>
  <c r="C52" i="3" s="1"/>
  <c r="G51" i="3"/>
  <c r="A51" i="3"/>
  <c r="D51" i="3" s="1"/>
  <c r="E51" i="3" s="1"/>
  <c r="A50" i="3"/>
  <c r="D50" i="3" s="1"/>
  <c r="A49" i="3"/>
  <c r="B49" i="3" s="1"/>
  <c r="A48" i="3"/>
  <c r="B48" i="3" s="1"/>
  <c r="A47" i="3"/>
  <c r="A46" i="3"/>
  <c r="C46" i="3" s="1"/>
  <c r="A45" i="3"/>
  <c r="A44" i="3"/>
  <c r="D44" i="3" s="1"/>
  <c r="E44" i="3" s="1"/>
  <c r="A43" i="3"/>
  <c r="A42" i="3"/>
  <c r="D42" i="3" s="1"/>
  <c r="G42" i="3" s="1"/>
  <c r="A41" i="3"/>
  <c r="B41" i="3" s="1"/>
  <c r="A40" i="3"/>
  <c r="A39" i="3"/>
  <c r="D39" i="3" s="1"/>
  <c r="G39" i="3" s="1"/>
  <c r="A38" i="3"/>
  <c r="D38" i="3" s="1"/>
  <c r="G38" i="3" s="1"/>
  <c r="A37" i="3"/>
  <c r="D37" i="3" s="1"/>
  <c r="A36" i="3"/>
  <c r="A35" i="3"/>
  <c r="D35" i="3" s="1"/>
  <c r="A34" i="3"/>
  <c r="A33" i="3"/>
  <c r="C33" i="3" s="1"/>
  <c r="A32" i="3"/>
  <c r="B32" i="3" s="1"/>
  <c r="A31" i="3"/>
  <c r="D31" i="3" s="1"/>
  <c r="A30" i="3"/>
  <c r="A29" i="3"/>
  <c r="B29" i="3" s="1"/>
  <c r="A28" i="3"/>
  <c r="A27" i="3"/>
  <c r="D27" i="3" s="1"/>
  <c r="A26" i="3"/>
  <c r="B26" i="3" s="1"/>
  <c r="A25" i="3"/>
  <c r="B25" i="3" s="1"/>
  <c r="A24" i="3"/>
  <c r="B24" i="3" s="1"/>
  <c r="A23" i="3"/>
  <c r="D23" i="3" s="1"/>
  <c r="G23" i="3" s="1"/>
  <c r="A22" i="3"/>
  <c r="C22" i="3" s="1"/>
  <c r="A21" i="3"/>
  <c r="B21" i="3" s="1"/>
  <c r="A20" i="3"/>
  <c r="D20" i="3" s="1"/>
  <c r="A19" i="3"/>
  <c r="D19" i="3" s="1"/>
  <c r="A18" i="3"/>
  <c r="D18" i="3" s="1"/>
  <c r="A17" i="3"/>
  <c r="D17" i="3" s="1"/>
  <c r="A16" i="3"/>
  <c r="B16" i="3" s="1"/>
  <c r="A15" i="3"/>
  <c r="C15" i="3" s="1"/>
  <c r="A14" i="3"/>
  <c r="B14" i="3" s="1"/>
  <c r="A13" i="3"/>
  <c r="B13" i="3" s="1"/>
  <c r="A12" i="3"/>
  <c r="A11" i="3"/>
  <c r="D11" i="3" s="1"/>
  <c r="A10" i="3"/>
  <c r="D10" i="3" s="1"/>
  <c r="A9" i="3"/>
  <c r="D9" i="3" s="1"/>
  <c r="G9" i="3" s="1"/>
  <c r="A8" i="3"/>
  <c r="D8" i="3" s="1"/>
  <c r="A7" i="3"/>
  <c r="D7" i="3" s="1"/>
  <c r="A6" i="3"/>
  <c r="D6" i="3" s="1"/>
  <c r="A5" i="3"/>
  <c r="D5" i="3" s="1"/>
  <c r="A4" i="3"/>
  <c r="B4" i="3" s="1"/>
  <c r="D266" i="3" l="1"/>
  <c r="E266" i="3" s="1"/>
  <c r="D367" i="3"/>
  <c r="E367" i="3" s="1"/>
  <c r="B473" i="3"/>
  <c r="D217" i="3"/>
  <c r="E217" i="3" s="1"/>
  <c r="I217" i="3" s="1"/>
  <c r="D226" i="3"/>
  <c r="G226" i="3" s="1"/>
  <c r="C328" i="3"/>
  <c r="C335" i="3"/>
  <c r="C473" i="3"/>
  <c r="B259" i="3"/>
  <c r="C320" i="3"/>
  <c r="D328" i="3"/>
  <c r="E328" i="3" s="1"/>
  <c r="E335" i="3"/>
  <c r="I335" i="3" s="1"/>
  <c r="D454" i="3"/>
  <c r="D13" i="3"/>
  <c r="C67" i="3"/>
  <c r="D96" i="3"/>
  <c r="C250" i="3"/>
  <c r="C259" i="3"/>
  <c r="D320" i="3"/>
  <c r="C380" i="3"/>
  <c r="E465" i="3"/>
  <c r="I465" i="3" s="1"/>
  <c r="C25" i="3"/>
  <c r="B88" i="3"/>
  <c r="D250" i="3"/>
  <c r="G250" i="3" s="1"/>
  <c r="D380" i="3"/>
  <c r="D25" i="3"/>
  <c r="G25" i="3" s="1"/>
  <c r="C48" i="3"/>
  <c r="C88" i="3"/>
  <c r="C220" i="3"/>
  <c r="D280" i="3"/>
  <c r="G280" i="3" s="1"/>
  <c r="C372" i="3"/>
  <c r="C437" i="3"/>
  <c r="D48" i="3"/>
  <c r="E48" i="3" s="1"/>
  <c r="E88" i="3"/>
  <c r="I88" i="3" s="1"/>
  <c r="D220" i="3"/>
  <c r="D290" i="3"/>
  <c r="G290" i="3" s="1"/>
  <c r="B331" i="3"/>
  <c r="D372" i="3"/>
  <c r="G372" i="3" s="1"/>
  <c r="C180" i="3"/>
  <c r="C331" i="3"/>
  <c r="D180" i="3"/>
  <c r="E180" i="3" s="1"/>
  <c r="E383" i="3"/>
  <c r="I383" i="3" s="1"/>
  <c r="D191" i="3"/>
  <c r="G191" i="3" s="1"/>
  <c r="D202" i="3"/>
  <c r="E202" i="3" s="1"/>
  <c r="C283" i="3"/>
  <c r="D406" i="3"/>
  <c r="G406" i="3" s="1"/>
  <c r="B425" i="3"/>
  <c r="D425" i="3"/>
  <c r="C425" i="3"/>
  <c r="B36" i="3"/>
  <c r="D36" i="3"/>
  <c r="C36" i="3"/>
  <c r="C165" i="3"/>
  <c r="B229" i="3"/>
  <c r="B238" i="3"/>
  <c r="D112" i="3"/>
  <c r="C112" i="3"/>
  <c r="B112" i="3"/>
  <c r="D165" i="3"/>
  <c r="E165" i="3" s="1"/>
  <c r="C229" i="3"/>
  <c r="C238" i="3"/>
  <c r="B370" i="3"/>
  <c r="D448" i="3"/>
  <c r="E448" i="3" s="1"/>
  <c r="C448" i="3"/>
  <c r="B448" i="3"/>
  <c r="G27" i="3"/>
  <c r="E27" i="3"/>
  <c r="I27" i="3" s="1"/>
  <c r="C84" i="3"/>
  <c r="B176" i="3"/>
  <c r="D184" i="3"/>
  <c r="G184" i="3" s="1"/>
  <c r="C184" i="3"/>
  <c r="B184" i="3"/>
  <c r="G229" i="3"/>
  <c r="C370" i="3"/>
  <c r="D438" i="3"/>
  <c r="D84" i="3"/>
  <c r="E84" i="3" s="1"/>
  <c r="C176" i="3"/>
  <c r="B439" i="3"/>
  <c r="D439" i="3"/>
  <c r="G439" i="3" s="1"/>
  <c r="C439" i="3"/>
  <c r="D418" i="3"/>
  <c r="G418" i="3" s="1"/>
  <c r="C418" i="3"/>
  <c r="B418" i="3"/>
  <c r="D466" i="3"/>
  <c r="E466" i="3" s="1"/>
  <c r="E139" i="3"/>
  <c r="G139" i="3"/>
  <c r="I139" i="3" s="1"/>
  <c r="C160" i="3"/>
  <c r="B215" i="3"/>
  <c r="D215" i="3"/>
  <c r="G215" i="3" s="1"/>
  <c r="C215" i="3"/>
  <c r="D68" i="3"/>
  <c r="E68" i="3" s="1"/>
  <c r="E77" i="3"/>
  <c r="G77" i="3"/>
  <c r="D160" i="3"/>
  <c r="E160" i="3" s="1"/>
  <c r="C196" i="3"/>
  <c r="D196" i="3"/>
  <c r="G196" i="3" s="1"/>
  <c r="B196" i="3"/>
  <c r="D334" i="3"/>
  <c r="E334" i="3" s="1"/>
  <c r="C334" i="3"/>
  <c r="D365" i="3"/>
  <c r="E365" i="3" s="1"/>
  <c r="B392" i="3"/>
  <c r="D392" i="3"/>
  <c r="D410" i="3"/>
  <c r="G410" i="3" s="1"/>
  <c r="C410" i="3"/>
  <c r="B42" i="3"/>
  <c r="C49" i="3"/>
  <c r="B161" i="3"/>
  <c r="D161" i="3"/>
  <c r="G161" i="3" s="1"/>
  <c r="C161" i="3"/>
  <c r="B188" i="3"/>
  <c r="B278" i="3"/>
  <c r="B334" i="3"/>
  <c r="C392" i="3"/>
  <c r="B410" i="3"/>
  <c r="C42" i="3"/>
  <c r="D49" i="3"/>
  <c r="G49" i="3" s="1"/>
  <c r="B108" i="3"/>
  <c r="C130" i="3"/>
  <c r="D130" i="3"/>
  <c r="G130" i="3" s="1"/>
  <c r="C188" i="3"/>
  <c r="D260" i="3"/>
  <c r="G260" i="3" s="1"/>
  <c r="D278" i="3"/>
  <c r="D404" i="3"/>
  <c r="G404" i="3" s="1"/>
  <c r="C404" i="3"/>
  <c r="D108" i="3"/>
  <c r="E108" i="3" s="1"/>
  <c r="D142" i="3"/>
  <c r="G142" i="3" s="1"/>
  <c r="B189" i="3"/>
  <c r="D189" i="3"/>
  <c r="G189" i="3" s="1"/>
  <c r="D346" i="3"/>
  <c r="C346" i="3"/>
  <c r="B346" i="3"/>
  <c r="B404" i="3"/>
  <c r="D453" i="3"/>
  <c r="E453" i="3" s="1"/>
  <c r="C453" i="3"/>
  <c r="D72" i="3"/>
  <c r="C72" i="3"/>
  <c r="B72" i="3"/>
  <c r="D81" i="3"/>
  <c r="G81" i="3" s="1"/>
  <c r="C81" i="3"/>
  <c r="B81" i="3"/>
  <c r="C189" i="3"/>
  <c r="B246" i="3"/>
  <c r="D272" i="3"/>
  <c r="E272" i="3" s="1"/>
  <c r="C272" i="3"/>
  <c r="B453" i="3"/>
  <c r="D248" i="3"/>
  <c r="G248" i="3" s="1"/>
  <c r="C248" i="3"/>
  <c r="B389" i="3"/>
  <c r="C468" i="3"/>
  <c r="D86" i="3"/>
  <c r="G86" i="3" s="1"/>
  <c r="C86" i="3"/>
  <c r="B134" i="3"/>
  <c r="B248" i="3"/>
  <c r="G289" i="3"/>
  <c r="I289" i="3" s="1"/>
  <c r="C297" i="3"/>
  <c r="C358" i="3"/>
  <c r="D358" i="3"/>
  <c r="C389" i="3"/>
  <c r="C455" i="3"/>
  <c r="B463" i="3"/>
  <c r="D468" i="3"/>
  <c r="G468" i="3" s="1"/>
  <c r="B86" i="3"/>
  <c r="D134" i="3"/>
  <c r="G134" i="3" s="1"/>
  <c r="D170" i="3"/>
  <c r="B192" i="3"/>
  <c r="D232" i="3"/>
  <c r="E232" i="3" s="1"/>
  <c r="C232" i="3"/>
  <c r="D297" i="3"/>
  <c r="C332" i="3"/>
  <c r="B368" i="3"/>
  <c r="C382" i="3"/>
  <c r="C441" i="3"/>
  <c r="D441" i="3"/>
  <c r="G441" i="3" s="1"/>
  <c r="B441" i="3"/>
  <c r="E455" i="3"/>
  <c r="I455" i="3" s="1"/>
  <c r="C463" i="3"/>
  <c r="D155" i="3"/>
  <c r="G155" i="3" s="1"/>
  <c r="D163" i="3"/>
  <c r="C163" i="3"/>
  <c r="B187" i="3"/>
  <c r="C192" i="3"/>
  <c r="B202" i="3"/>
  <c r="B209" i="3"/>
  <c r="D216" i="3"/>
  <c r="G216" i="3" s="1"/>
  <c r="B232" i="3"/>
  <c r="D332" i="3"/>
  <c r="G332" i="3" s="1"/>
  <c r="C368" i="3"/>
  <c r="D382" i="3"/>
  <c r="D413" i="3"/>
  <c r="E413" i="3" s="1"/>
  <c r="C96" i="3"/>
  <c r="B163" i="3"/>
  <c r="C187" i="3"/>
  <c r="C209" i="3"/>
  <c r="B283" i="3"/>
  <c r="B290" i="3"/>
  <c r="D350" i="3"/>
  <c r="C350" i="3"/>
  <c r="B350" i="3"/>
  <c r="G399" i="3"/>
  <c r="E399" i="3"/>
  <c r="D424" i="3"/>
  <c r="E424" i="3" s="1"/>
  <c r="D456" i="3"/>
  <c r="G456" i="3" s="1"/>
  <c r="D464" i="3"/>
  <c r="G464" i="3" s="1"/>
  <c r="C464" i="3"/>
  <c r="C29" i="3"/>
  <c r="G44" i="3"/>
  <c r="I44" i="3" s="1"/>
  <c r="C74" i="3"/>
  <c r="D94" i="3"/>
  <c r="G94" i="3" s="1"/>
  <c r="D149" i="3"/>
  <c r="E149" i="3" s="1"/>
  <c r="D158" i="3"/>
  <c r="G158" i="3" s="1"/>
  <c r="B178" i="3"/>
  <c r="B280" i="3"/>
  <c r="D294" i="3"/>
  <c r="G294" i="3" s="1"/>
  <c r="D314" i="3"/>
  <c r="G314" i="3" s="1"/>
  <c r="B367" i="3"/>
  <c r="B406" i="3"/>
  <c r="C449" i="3"/>
  <c r="C13" i="3"/>
  <c r="D29" i="3"/>
  <c r="E29" i="3" s="1"/>
  <c r="D74" i="3"/>
  <c r="E74" i="3" s="1"/>
  <c r="D178" i="3"/>
  <c r="G178" i="3" s="1"/>
  <c r="B266" i="3"/>
  <c r="B437" i="3"/>
  <c r="D449" i="3"/>
  <c r="C454" i="3"/>
  <c r="C465" i="3"/>
  <c r="G387" i="3"/>
  <c r="E387" i="3"/>
  <c r="I387" i="3" s="1"/>
  <c r="G198" i="3"/>
  <c r="E198" i="3"/>
  <c r="I198" i="3" s="1"/>
  <c r="I84" i="3"/>
  <c r="E435" i="3"/>
  <c r="G435" i="3"/>
  <c r="G442" i="3"/>
  <c r="E442" i="3"/>
  <c r="I442" i="3" s="1"/>
  <c r="C148" i="3"/>
  <c r="D148" i="3"/>
  <c r="E148" i="3" s="1"/>
  <c r="B148" i="3"/>
  <c r="B256" i="3"/>
  <c r="G84" i="3"/>
  <c r="D114" i="3"/>
  <c r="G114" i="3" s="1"/>
  <c r="C114" i="3"/>
  <c r="B114" i="3"/>
  <c r="B208" i="3"/>
  <c r="C329" i="3"/>
  <c r="C420" i="3"/>
  <c r="C462" i="3"/>
  <c r="D462" i="3"/>
  <c r="C11" i="3"/>
  <c r="C121" i="3"/>
  <c r="D150" i="3"/>
  <c r="B416" i="3"/>
  <c r="D420" i="3"/>
  <c r="B442" i="3"/>
  <c r="D4" i="3"/>
  <c r="B53" i="3"/>
  <c r="D53" i="3"/>
  <c r="D60" i="3"/>
  <c r="B97" i="3"/>
  <c r="D110" i="3"/>
  <c r="D121" i="3"/>
  <c r="E121" i="3" s="1"/>
  <c r="D128" i="3"/>
  <c r="C128" i="3"/>
  <c r="B138" i="3"/>
  <c r="D157" i="3"/>
  <c r="E157" i="3" s="1"/>
  <c r="C203" i="3"/>
  <c r="B239" i="3"/>
  <c r="D239" i="3"/>
  <c r="D256" i="3"/>
  <c r="C286" i="3"/>
  <c r="D395" i="3"/>
  <c r="C395" i="3"/>
  <c r="D416" i="3"/>
  <c r="C472" i="3"/>
  <c r="C64" i="3"/>
  <c r="E73" i="3"/>
  <c r="I73" i="3" s="1"/>
  <c r="C126" i="3"/>
  <c r="D24" i="3"/>
  <c r="G24" i="3" s="1"/>
  <c r="C24" i="3"/>
  <c r="C150" i="3"/>
  <c r="D394" i="3"/>
  <c r="C394" i="3"/>
  <c r="D91" i="3"/>
  <c r="E91" i="3" s="1"/>
  <c r="C91" i="3"/>
  <c r="C167" i="3"/>
  <c r="B203" i="3"/>
  <c r="E231" i="3"/>
  <c r="G231" i="3"/>
  <c r="B304" i="3"/>
  <c r="D304" i="3"/>
  <c r="G367" i="3"/>
  <c r="B118" i="3"/>
  <c r="D118" i="3"/>
  <c r="C118" i="3"/>
  <c r="C16" i="3"/>
  <c r="B40" i="3"/>
  <c r="D40" i="3"/>
  <c r="B70" i="3"/>
  <c r="B136" i="3"/>
  <c r="D16" i="3"/>
  <c r="C132" i="3"/>
  <c r="D132" i="3"/>
  <c r="E132" i="3" s="1"/>
  <c r="E136" i="3"/>
  <c r="I136" i="3" s="1"/>
  <c r="E167" i="3"/>
  <c r="G167" i="3"/>
  <c r="I167" i="3" s="1"/>
  <c r="D245" i="3"/>
  <c r="G245" i="3" s="1"/>
  <c r="C245" i="3"/>
  <c r="B245" i="3"/>
  <c r="B11" i="3"/>
  <c r="E96" i="3"/>
  <c r="G96" i="3"/>
  <c r="B110" i="3"/>
  <c r="B132" i="3"/>
  <c r="B167" i="3"/>
  <c r="D379" i="3"/>
  <c r="C379" i="3"/>
  <c r="B379" i="3"/>
  <c r="E389" i="3"/>
  <c r="I389" i="3" s="1"/>
  <c r="C4" i="3"/>
  <c r="B60" i="3"/>
  <c r="D173" i="3"/>
  <c r="C208" i="3"/>
  <c r="D329" i="3"/>
  <c r="G329" i="3" s="1"/>
  <c r="C333" i="3"/>
  <c r="D333" i="3"/>
  <c r="G333" i="3" s="1"/>
  <c r="B394" i="3"/>
  <c r="B472" i="3"/>
  <c r="B227" i="3"/>
  <c r="C304" i="3"/>
  <c r="B333" i="3"/>
  <c r="C442" i="3"/>
  <c r="C53" i="3"/>
  <c r="D97" i="3"/>
  <c r="D105" i="3"/>
  <c r="G105" i="3" s="1"/>
  <c r="C105" i="3"/>
  <c r="C227" i="3"/>
  <c r="D286" i="3"/>
  <c r="B92" i="3"/>
  <c r="B271" i="3"/>
  <c r="D306" i="3"/>
  <c r="C306" i="3"/>
  <c r="D330" i="3"/>
  <c r="C478" i="3"/>
  <c r="B38" i="3"/>
  <c r="B62" i="3"/>
  <c r="D62" i="3"/>
  <c r="D76" i="3"/>
  <c r="G76" i="3" s="1"/>
  <c r="E134" i="3"/>
  <c r="I134" i="3" s="1"/>
  <c r="D194" i="3"/>
  <c r="G194" i="3" s="1"/>
  <c r="G232" i="3"/>
  <c r="E282" i="3"/>
  <c r="G282" i="3"/>
  <c r="B321" i="3"/>
  <c r="D356" i="3"/>
  <c r="G381" i="3"/>
  <c r="E381" i="3"/>
  <c r="D430" i="3"/>
  <c r="C430" i="3"/>
  <c r="C440" i="3"/>
  <c r="B27" i="3"/>
  <c r="C38" i="3"/>
  <c r="B44" i="3"/>
  <c r="C62" i="3"/>
  <c r="D98" i="3"/>
  <c r="G98" i="3" s="1"/>
  <c r="C117" i="3"/>
  <c r="B130" i="3"/>
  <c r="B139" i="3"/>
  <c r="C190" i="3"/>
  <c r="B217" i="3"/>
  <c r="E271" i="3"/>
  <c r="I271" i="3" s="1"/>
  <c r="B282" i="3"/>
  <c r="C321" i="3"/>
  <c r="C375" i="3"/>
  <c r="C408" i="3"/>
  <c r="D408" i="3"/>
  <c r="B430" i="3"/>
  <c r="D440" i="3"/>
  <c r="B128" i="3"/>
  <c r="C138" i="3"/>
  <c r="D144" i="3"/>
  <c r="G144" i="3" s="1"/>
  <c r="D186" i="3"/>
  <c r="C186" i="3"/>
  <c r="C239" i="3"/>
  <c r="B251" i="3"/>
  <c r="D291" i="3"/>
  <c r="C291" i="3"/>
  <c r="B326" i="3"/>
  <c r="B330" i="3"/>
  <c r="B356" i="3"/>
  <c r="D391" i="3"/>
  <c r="C391" i="3"/>
  <c r="B395" i="3"/>
  <c r="E401" i="3"/>
  <c r="I401" i="3" s="1"/>
  <c r="C428" i="3"/>
  <c r="D428" i="3"/>
  <c r="B428" i="3"/>
  <c r="I452" i="3"/>
  <c r="G466" i="3"/>
  <c r="I466" i="3" s="1"/>
  <c r="B478" i="3"/>
  <c r="B105" i="3"/>
  <c r="E151" i="3"/>
  <c r="I151" i="3" s="1"/>
  <c r="B186" i="3"/>
  <c r="B194" i="3"/>
  <c r="G227" i="3"/>
  <c r="I227" i="3" s="1"/>
  <c r="C251" i="3"/>
  <c r="B291" i="3"/>
  <c r="C326" i="3"/>
  <c r="C92" i="3"/>
  <c r="D123" i="3"/>
  <c r="G123" i="3" s="1"/>
  <c r="C152" i="3"/>
  <c r="D152" i="3"/>
  <c r="B190" i="3"/>
  <c r="C271" i="3"/>
  <c r="B306" i="3"/>
  <c r="C27" i="3"/>
  <c r="C44" i="3"/>
  <c r="D99" i="3"/>
  <c r="C99" i="3"/>
  <c r="B99" i="3"/>
  <c r="D117" i="3"/>
  <c r="G117" i="3" s="1"/>
  <c r="C139" i="3"/>
  <c r="B153" i="3"/>
  <c r="D153" i="3"/>
  <c r="G153" i="3" s="1"/>
  <c r="G187" i="3"/>
  <c r="E187" i="3"/>
  <c r="I187" i="3" s="1"/>
  <c r="B212" i="3"/>
  <c r="D212" i="3"/>
  <c r="G212" i="3" s="1"/>
  <c r="C224" i="3"/>
  <c r="B224" i="3"/>
  <c r="D224" i="3"/>
  <c r="G224" i="3" s="1"/>
  <c r="C282" i="3"/>
  <c r="C343" i="3"/>
  <c r="D343" i="3"/>
  <c r="D375" i="3"/>
  <c r="G375" i="3" s="1"/>
  <c r="D398" i="3"/>
  <c r="C398" i="3"/>
  <c r="G437" i="3"/>
  <c r="E437" i="3"/>
  <c r="I437" i="3" s="1"/>
  <c r="I172" i="3"/>
  <c r="D344" i="3"/>
  <c r="E344" i="3" s="1"/>
  <c r="C344" i="3"/>
  <c r="B344" i="3"/>
  <c r="B172" i="3"/>
  <c r="E196" i="3"/>
  <c r="B207" i="3"/>
  <c r="C244" i="3"/>
  <c r="B294" i="3"/>
  <c r="B301" i="3"/>
  <c r="C318" i="3"/>
  <c r="D318" i="3"/>
  <c r="G318" i="3" s="1"/>
  <c r="B351" i="3"/>
  <c r="D351" i="3"/>
  <c r="C351" i="3"/>
  <c r="G382" i="3"/>
  <c r="E382" i="3"/>
  <c r="I382" i="3" s="1"/>
  <c r="G444" i="3"/>
  <c r="I444" i="3" s="1"/>
  <c r="C450" i="3"/>
  <c r="D450" i="3"/>
  <c r="E450" i="3" s="1"/>
  <c r="D476" i="3"/>
  <c r="C476" i="3"/>
  <c r="C40" i="3"/>
  <c r="D64" i="3"/>
  <c r="D70" i="3"/>
  <c r="G70" i="3" s="1"/>
  <c r="D126" i="3"/>
  <c r="C136" i="3"/>
  <c r="C172" i="3"/>
  <c r="C207" i="3"/>
  <c r="D214" i="3"/>
  <c r="C214" i="3"/>
  <c r="D244" i="3"/>
  <c r="G244" i="3" s="1"/>
  <c r="G249" i="3"/>
  <c r="I249" i="3" s="1"/>
  <c r="C260" i="3"/>
  <c r="C267" i="3"/>
  <c r="D267" i="3"/>
  <c r="C301" i="3"/>
  <c r="B318" i="3"/>
  <c r="G346" i="3"/>
  <c r="E346" i="3"/>
  <c r="I346" i="3" s="1"/>
  <c r="B450" i="3"/>
  <c r="B470" i="3"/>
  <c r="D470" i="3"/>
  <c r="E470" i="3" s="1"/>
  <c r="C470" i="3"/>
  <c r="B476" i="3"/>
  <c r="C252" i="3"/>
  <c r="D268" i="3"/>
  <c r="C268" i="3"/>
  <c r="B292" i="3"/>
  <c r="D319" i="3"/>
  <c r="C319" i="3"/>
  <c r="B319" i="3"/>
  <c r="G334" i="3"/>
  <c r="I334" i="3" s="1"/>
  <c r="B340" i="3"/>
  <c r="B374" i="3"/>
  <c r="C374" i="3"/>
  <c r="B401" i="3"/>
  <c r="B444" i="3"/>
  <c r="E452" i="3"/>
  <c r="B461" i="3"/>
  <c r="G473" i="3"/>
  <c r="I473" i="3" s="1"/>
  <c r="C12" i="3"/>
  <c r="D12" i="3"/>
  <c r="G12" i="3" s="1"/>
  <c r="B51" i="3"/>
  <c r="B68" i="3"/>
  <c r="D75" i="3"/>
  <c r="C75" i="3"/>
  <c r="B124" i="3"/>
  <c r="B191" i="3"/>
  <c r="C200" i="3"/>
  <c r="D205" i="3"/>
  <c r="C205" i="3"/>
  <c r="D252" i="3"/>
  <c r="G252" i="3" s="1"/>
  <c r="B257" i="3"/>
  <c r="B268" i="3"/>
  <c r="C292" i="3"/>
  <c r="C340" i="3"/>
  <c r="D352" i="3"/>
  <c r="C352" i="3"/>
  <c r="B365" i="3"/>
  <c r="E368" i="3"/>
  <c r="I368" i="3" s="1"/>
  <c r="D374" i="3"/>
  <c r="B383" i="3"/>
  <c r="D388" i="3"/>
  <c r="C388" i="3"/>
  <c r="B388" i="3"/>
  <c r="C401" i="3"/>
  <c r="B405" i="3"/>
  <c r="C434" i="3"/>
  <c r="D434" i="3"/>
  <c r="C444" i="3"/>
  <c r="B456" i="3"/>
  <c r="C461" i="3"/>
  <c r="C474" i="3"/>
  <c r="D474" i="3"/>
  <c r="E474" i="3" s="1"/>
  <c r="B474" i="3"/>
  <c r="C51" i="3"/>
  <c r="B75" i="3"/>
  <c r="C124" i="3"/>
  <c r="C142" i="3"/>
  <c r="E159" i="3"/>
  <c r="I159" i="3" s="1"/>
  <c r="B170" i="3"/>
  <c r="D200" i="3"/>
  <c r="E200" i="3" s="1"/>
  <c r="B205" i="3"/>
  <c r="B226" i="3"/>
  <c r="C234" i="3"/>
  <c r="C257" i="3"/>
  <c r="D264" i="3"/>
  <c r="E264" i="3" s="1"/>
  <c r="C264" i="3"/>
  <c r="D299" i="3"/>
  <c r="G299" i="3" s="1"/>
  <c r="B335" i="3"/>
  <c r="B352" i="3"/>
  <c r="C383" i="3"/>
  <c r="D405" i="3"/>
  <c r="B424" i="3"/>
  <c r="B434" i="3"/>
  <c r="C327" i="3"/>
  <c r="D327" i="3"/>
  <c r="G327" i="3" s="1"/>
  <c r="D443" i="3"/>
  <c r="C443" i="3"/>
  <c r="D115" i="3"/>
  <c r="B115" i="3"/>
  <c r="B302" i="3"/>
  <c r="D323" i="3"/>
  <c r="C323" i="3"/>
  <c r="B327" i="3"/>
  <c r="B358" i="3"/>
  <c r="B364" i="3"/>
  <c r="C384" i="3"/>
  <c r="B413" i="3"/>
  <c r="B426" i="3"/>
  <c r="B443" i="3"/>
  <c r="E463" i="3"/>
  <c r="I463" i="3" s="1"/>
  <c r="B466" i="3"/>
  <c r="D480" i="3"/>
  <c r="C480" i="3"/>
  <c r="D247" i="3"/>
  <c r="B247" i="3"/>
  <c r="D302" i="3"/>
  <c r="E302" i="3" s="1"/>
  <c r="D364" i="3"/>
  <c r="G364" i="3" s="1"/>
  <c r="D384" i="3"/>
  <c r="D426" i="3"/>
  <c r="E426" i="3" s="1"/>
  <c r="B465" i="3"/>
  <c r="G17" i="3"/>
  <c r="E17" i="3"/>
  <c r="I17" i="3" s="1"/>
  <c r="G37" i="3"/>
  <c r="E37" i="3"/>
  <c r="C109" i="3"/>
  <c r="D109" i="3"/>
  <c r="D199" i="3"/>
  <c r="C199" i="3"/>
  <c r="D243" i="3"/>
  <c r="C243" i="3"/>
  <c r="G341" i="3"/>
  <c r="E341" i="3"/>
  <c r="I341" i="3" s="1"/>
  <c r="G5" i="3"/>
  <c r="E5" i="3"/>
  <c r="I5" i="3" s="1"/>
  <c r="E9" i="3"/>
  <c r="I9" i="3" s="1"/>
  <c r="B17" i="3"/>
  <c r="G100" i="3"/>
  <c r="E100" i="3"/>
  <c r="I100" i="3" s="1"/>
  <c r="E124" i="3"/>
  <c r="G124" i="3"/>
  <c r="D156" i="3"/>
  <c r="C156" i="3"/>
  <c r="D475" i="3"/>
  <c r="C475" i="3"/>
  <c r="B475" i="3"/>
  <c r="D45" i="3"/>
  <c r="C45" i="3"/>
  <c r="B61" i="3"/>
  <c r="D61" i="3"/>
  <c r="C61" i="3"/>
  <c r="B168" i="3"/>
  <c r="D168" i="3"/>
  <c r="C168" i="3"/>
  <c r="E176" i="3"/>
  <c r="I176" i="3" s="1"/>
  <c r="D218" i="3"/>
  <c r="C218" i="3"/>
  <c r="E380" i="3"/>
  <c r="G380" i="3"/>
  <c r="E411" i="3"/>
  <c r="G411" i="3"/>
  <c r="G18" i="3"/>
  <c r="E18" i="3"/>
  <c r="I18" i="3" s="1"/>
  <c r="B89" i="3"/>
  <c r="D89" i="3"/>
  <c r="B218" i="3"/>
  <c r="G6" i="3"/>
  <c r="E6" i="3"/>
  <c r="E23" i="3"/>
  <c r="I23" i="3" s="1"/>
  <c r="C89" i="3"/>
  <c r="G107" i="3"/>
  <c r="E107" i="3"/>
  <c r="D145" i="3"/>
  <c r="C145" i="3"/>
  <c r="E189" i="3"/>
  <c r="I189" i="3" s="1"/>
  <c r="D15" i="3"/>
  <c r="E38" i="3"/>
  <c r="I38" i="3" s="1"/>
  <c r="E42" i="3"/>
  <c r="I42" i="3" s="1"/>
  <c r="B107" i="3"/>
  <c r="B129" i="3"/>
  <c r="D129" i="3"/>
  <c r="C129" i="3"/>
  <c r="B145" i="3"/>
  <c r="G165" i="3"/>
  <c r="I165" i="3" s="1"/>
  <c r="G203" i="3"/>
  <c r="E203" i="3"/>
  <c r="I203" i="3" s="1"/>
  <c r="G262" i="3"/>
  <c r="E262" i="3"/>
  <c r="I262" i="3" s="1"/>
  <c r="B269" i="3"/>
  <c r="C378" i="3"/>
  <c r="B378" i="3"/>
  <c r="D378" i="3"/>
  <c r="E393" i="3"/>
  <c r="I393" i="3" s="1"/>
  <c r="G11" i="3"/>
  <c r="E11" i="3"/>
  <c r="D30" i="3"/>
  <c r="C30" i="3"/>
  <c r="G35" i="3"/>
  <c r="E35" i="3"/>
  <c r="I35" i="3" s="1"/>
  <c r="C47" i="3"/>
  <c r="B47" i="3"/>
  <c r="D59" i="3"/>
  <c r="C59" i="3"/>
  <c r="D80" i="3"/>
  <c r="C80" i="3"/>
  <c r="C107" i="3"/>
  <c r="C113" i="3"/>
  <c r="G121" i="3"/>
  <c r="G173" i="3"/>
  <c r="E173" i="3"/>
  <c r="I173" i="3" s="1"/>
  <c r="G266" i="3"/>
  <c r="I266" i="3" s="1"/>
  <c r="B30" i="3"/>
  <c r="D47" i="3"/>
  <c r="B80" i="3"/>
  <c r="D87" i="3"/>
  <c r="C87" i="3"/>
  <c r="B87" i="3"/>
  <c r="D113" i="3"/>
  <c r="G140" i="3"/>
  <c r="E140" i="3"/>
  <c r="G162" i="3"/>
  <c r="E162" i="3"/>
  <c r="I162" i="3" s="1"/>
  <c r="G166" i="3"/>
  <c r="E166" i="3"/>
  <c r="I166" i="3" s="1"/>
  <c r="C185" i="3"/>
  <c r="B185" i="3"/>
  <c r="B201" i="3"/>
  <c r="D201" i="3"/>
  <c r="E255" i="3"/>
  <c r="I255" i="3" s="1"/>
  <c r="E257" i="3"/>
  <c r="I257" i="3" s="1"/>
  <c r="D307" i="3"/>
  <c r="C307" i="3"/>
  <c r="B307" i="3"/>
  <c r="G322" i="3"/>
  <c r="E322" i="3"/>
  <c r="B363" i="3"/>
  <c r="D363" i="3"/>
  <c r="C363" i="3"/>
  <c r="C7" i="3"/>
  <c r="E20" i="3"/>
  <c r="G20" i="3"/>
  <c r="G31" i="3"/>
  <c r="E31" i="3"/>
  <c r="D54" i="3"/>
  <c r="B54" i="3"/>
  <c r="C54" i="3"/>
  <c r="D104" i="3"/>
  <c r="C104" i="3"/>
  <c r="B137" i="3"/>
  <c r="D137" i="3"/>
  <c r="C137" i="3"/>
  <c r="D171" i="3"/>
  <c r="C171" i="3"/>
  <c r="C174" i="3"/>
  <c r="B174" i="3"/>
  <c r="D174" i="3"/>
  <c r="D185" i="3"/>
  <c r="E194" i="3"/>
  <c r="C201" i="3"/>
  <c r="G238" i="3"/>
  <c r="E238" i="3"/>
  <c r="I238" i="3" s="1"/>
  <c r="D275" i="3"/>
  <c r="C275" i="3"/>
  <c r="E294" i="3"/>
  <c r="E314" i="3"/>
  <c r="I314" i="3" s="1"/>
  <c r="D353" i="3"/>
  <c r="C353" i="3"/>
  <c r="B353" i="3"/>
  <c r="D28" i="3"/>
  <c r="C28" i="3"/>
  <c r="B28" i="3"/>
  <c r="C336" i="3"/>
  <c r="B336" i="3"/>
  <c r="B109" i="3"/>
  <c r="B199" i="3"/>
  <c r="D336" i="3"/>
  <c r="C17" i="3"/>
  <c r="B156" i="3"/>
  <c r="C5" i="3"/>
  <c r="E25" i="3"/>
  <c r="I25" i="3" s="1"/>
  <c r="D396" i="3"/>
  <c r="C396" i="3"/>
  <c r="E7" i="3"/>
  <c r="G7" i="3"/>
  <c r="B19" i="3"/>
  <c r="C240" i="3"/>
  <c r="D240" i="3"/>
  <c r="C269" i="3"/>
  <c r="G279" i="3"/>
  <c r="E279" i="3"/>
  <c r="I279" i="3" s="1"/>
  <c r="B396" i="3"/>
  <c r="B7" i="3"/>
  <c r="C19" i="3"/>
  <c r="D43" i="3"/>
  <c r="C43" i="3"/>
  <c r="B43" i="3"/>
  <c r="G50" i="3"/>
  <c r="E50" i="3"/>
  <c r="I50" i="3" s="1"/>
  <c r="B59" i="3"/>
  <c r="E122" i="3"/>
  <c r="G122" i="3"/>
  <c r="G8" i="3"/>
  <c r="E8" i="3"/>
  <c r="I8" i="3" s="1"/>
  <c r="D21" i="3"/>
  <c r="C21" i="3"/>
  <c r="G55" i="3"/>
  <c r="E55" i="3"/>
  <c r="I55" i="3" s="1"/>
  <c r="D111" i="3"/>
  <c r="C111" i="3"/>
  <c r="C195" i="3"/>
  <c r="D195" i="3"/>
  <c r="E288" i="3"/>
  <c r="G288" i="3"/>
  <c r="E13" i="3"/>
  <c r="G13" i="3"/>
  <c r="G164" i="3"/>
  <c r="E164" i="3"/>
  <c r="I164" i="3" s="1"/>
  <c r="B243" i="3"/>
  <c r="G324" i="3"/>
  <c r="E324" i="3"/>
  <c r="B5" i="3"/>
  <c r="E19" i="3"/>
  <c r="G19" i="3"/>
  <c r="B65" i="3"/>
  <c r="D65" i="3"/>
  <c r="D32" i="3"/>
  <c r="C32" i="3"/>
  <c r="D63" i="3"/>
  <c r="C63" i="3"/>
  <c r="B63" i="3"/>
  <c r="D85" i="3"/>
  <c r="C85" i="3"/>
  <c r="D295" i="3"/>
  <c r="C295" i="3"/>
  <c r="B295" i="3"/>
  <c r="G355" i="3"/>
  <c r="E355" i="3"/>
  <c r="G370" i="3"/>
  <c r="E370" i="3"/>
  <c r="G148" i="3"/>
  <c r="G10" i="3"/>
  <c r="E10" i="3"/>
  <c r="I10" i="3" s="1"/>
  <c r="C34" i="3"/>
  <c r="D34" i="3"/>
  <c r="B34" i="3"/>
  <c r="G57" i="3"/>
  <c r="E57" i="3"/>
  <c r="I57" i="3" s="1"/>
  <c r="C83" i="3"/>
  <c r="D83" i="3"/>
  <c r="G320" i="3"/>
  <c r="E320" i="3"/>
  <c r="B15" i="3"/>
  <c r="B45" i="3"/>
  <c r="G328" i="3"/>
  <c r="I328" i="3" s="1"/>
  <c r="G269" i="3"/>
  <c r="E269" i="3"/>
  <c r="I269" i="3" s="1"/>
  <c r="C9" i="3"/>
  <c r="B9" i="3"/>
  <c r="I51" i="3"/>
  <c r="D56" i="3"/>
  <c r="C56" i="3"/>
  <c r="I96" i="3"/>
  <c r="D179" i="3"/>
  <c r="C179" i="3"/>
  <c r="B179" i="3"/>
  <c r="D222" i="3"/>
  <c r="C222" i="3"/>
  <c r="D422" i="3"/>
  <c r="C422" i="3"/>
  <c r="B422" i="3"/>
  <c r="D127" i="3"/>
  <c r="C127" i="3"/>
  <c r="G102" i="3"/>
  <c r="E102" i="3"/>
  <c r="E183" i="3"/>
  <c r="G183" i="3"/>
  <c r="E192" i="3"/>
  <c r="G192" i="3"/>
  <c r="C253" i="3"/>
  <c r="B253" i="3"/>
  <c r="D258" i="3"/>
  <c r="C258" i="3"/>
  <c r="C276" i="3"/>
  <c r="B276" i="3"/>
  <c r="D276" i="3"/>
  <c r="D284" i="3"/>
  <c r="C284" i="3"/>
  <c r="G331" i="3"/>
  <c r="E331" i="3"/>
  <c r="I331" i="3" s="1"/>
  <c r="D385" i="3"/>
  <c r="B385" i="3"/>
  <c r="G438" i="3"/>
  <c r="E438" i="3"/>
  <c r="I438" i="3" s="1"/>
  <c r="G446" i="3"/>
  <c r="E446" i="3"/>
  <c r="G78" i="3"/>
  <c r="E78" i="3"/>
  <c r="I78" i="3" s="1"/>
  <c r="B166" i="3"/>
  <c r="B183" i="3"/>
  <c r="D204" i="3"/>
  <c r="C204" i="3"/>
  <c r="B204" i="3"/>
  <c r="B210" i="3"/>
  <c r="C219" i="3"/>
  <c r="G270" i="3"/>
  <c r="E270" i="3"/>
  <c r="B281" i="3"/>
  <c r="B288" i="3"/>
  <c r="G347" i="3"/>
  <c r="E347" i="3"/>
  <c r="B35" i="3"/>
  <c r="B57" i="3"/>
  <c r="B78" i="3"/>
  <c r="G92" i="3"/>
  <c r="I92" i="3" s="1"/>
  <c r="D116" i="3"/>
  <c r="C119" i="3"/>
  <c r="C140" i="3"/>
  <c r="D146" i="3"/>
  <c r="C166" i="3"/>
  <c r="C183" i="3"/>
  <c r="B193" i="3"/>
  <c r="C197" i="3"/>
  <c r="C213" i="3"/>
  <c r="B213" i="3"/>
  <c r="C225" i="3"/>
  <c r="B225" i="3"/>
  <c r="D225" i="3"/>
  <c r="E250" i="3"/>
  <c r="I250" i="3" s="1"/>
  <c r="B279" i="3"/>
  <c r="C281" i="3"/>
  <c r="E290" i="3"/>
  <c r="I290" i="3" s="1"/>
  <c r="E312" i="3"/>
  <c r="G312" i="3"/>
  <c r="B324" i="3"/>
  <c r="G357" i="3"/>
  <c r="E357" i="3"/>
  <c r="I357" i="3" s="1"/>
  <c r="C386" i="3"/>
  <c r="D386" i="3"/>
  <c r="B386" i="3"/>
  <c r="C432" i="3"/>
  <c r="B22" i="3"/>
  <c r="C26" i="3"/>
  <c r="B33" i="3"/>
  <c r="C35" i="3"/>
  <c r="C41" i="3"/>
  <c r="B52" i="3"/>
  <c r="C57" i="3"/>
  <c r="C66" i="3"/>
  <c r="C78" i="3"/>
  <c r="D119" i="3"/>
  <c r="D125" i="3"/>
  <c r="C125" i="3"/>
  <c r="D133" i="3"/>
  <c r="C133" i="3"/>
  <c r="C154" i="3"/>
  <c r="B162" i="3"/>
  <c r="B164" i="3"/>
  <c r="D169" i="3"/>
  <c r="C169" i="3"/>
  <c r="B169" i="3"/>
  <c r="E190" i="3"/>
  <c r="I190" i="3" s="1"/>
  <c r="D197" i="3"/>
  <c r="E207" i="3"/>
  <c r="I207" i="3" s="1"/>
  <c r="D210" i="3"/>
  <c r="D213" i="3"/>
  <c r="D241" i="3"/>
  <c r="C241" i="3"/>
  <c r="B241" i="3"/>
  <c r="G267" i="3"/>
  <c r="E267" i="3"/>
  <c r="I267" i="3" s="1"/>
  <c r="C270" i="3"/>
  <c r="C279" i="3"/>
  <c r="E292" i="3"/>
  <c r="I292" i="3" s="1"/>
  <c r="D296" i="3"/>
  <c r="C296" i="3"/>
  <c r="B296" i="3"/>
  <c r="G303" i="3"/>
  <c r="E303" i="3"/>
  <c r="C305" i="3"/>
  <c r="B312" i="3"/>
  <c r="C324" i="3"/>
  <c r="C347" i="3"/>
  <c r="B355" i="3"/>
  <c r="B357" i="3"/>
  <c r="C360" i="3"/>
  <c r="D360" i="3"/>
  <c r="B360" i="3"/>
  <c r="E372" i="3"/>
  <c r="I372" i="3" s="1"/>
  <c r="B6" i="3"/>
  <c r="B8" i="3"/>
  <c r="B10" i="3"/>
  <c r="B18" i="3"/>
  <c r="D26" i="3"/>
  <c r="B31" i="3"/>
  <c r="B39" i="3"/>
  <c r="B50" i="3"/>
  <c r="B55" i="3"/>
  <c r="D93" i="3"/>
  <c r="C93" i="3"/>
  <c r="B100" i="3"/>
  <c r="C103" i="3"/>
  <c r="E105" i="3"/>
  <c r="I105" i="3" s="1"/>
  <c r="B125" i="3"/>
  <c r="B133" i="3"/>
  <c r="E138" i="3"/>
  <c r="I138" i="3" s="1"/>
  <c r="D154" i="3"/>
  <c r="C162" i="3"/>
  <c r="C164" i="3"/>
  <c r="D175" i="3"/>
  <c r="C175" i="3"/>
  <c r="B175" i="3"/>
  <c r="D193" i="3"/>
  <c r="E216" i="3"/>
  <c r="C233" i="3"/>
  <c r="B233" i="3"/>
  <c r="C236" i="3"/>
  <c r="E246" i="3"/>
  <c r="I246" i="3" s="1"/>
  <c r="B262" i="3"/>
  <c r="C277" i="3"/>
  <c r="C293" i="3"/>
  <c r="B293" i="3"/>
  <c r="B303" i="3"/>
  <c r="B309" i="3"/>
  <c r="D309" i="3"/>
  <c r="C312" i="3"/>
  <c r="B322" i="3"/>
  <c r="D345" i="3"/>
  <c r="C345" i="3"/>
  <c r="C355" i="3"/>
  <c r="C357" i="3"/>
  <c r="E369" i="3"/>
  <c r="I369" i="3" s="1"/>
  <c r="D373" i="3"/>
  <c r="B373" i="3"/>
  <c r="C427" i="3"/>
  <c r="B451" i="3"/>
  <c r="C6" i="3"/>
  <c r="C8" i="3"/>
  <c r="C10" i="3"/>
  <c r="B12" i="3"/>
  <c r="C18" i="3"/>
  <c r="C20" i="3"/>
  <c r="C31" i="3"/>
  <c r="D33" i="3"/>
  <c r="C37" i="3"/>
  <c r="C39" i="3"/>
  <c r="B46" i="3"/>
  <c r="C50" i="3"/>
  <c r="D52" i="3"/>
  <c r="C55" i="3"/>
  <c r="D69" i="3"/>
  <c r="C69" i="3"/>
  <c r="B76" i="3"/>
  <c r="C79" i="3"/>
  <c r="B93" i="3"/>
  <c r="B98" i="3"/>
  <c r="C100" i="3"/>
  <c r="D103" i="3"/>
  <c r="C120" i="3"/>
  <c r="B123" i="3"/>
  <c r="B144" i="3"/>
  <c r="D147" i="3"/>
  <c r="C147" i="3"/>
  <c r="D181" i="3"/>
  <c r="C181" i="3"/>
  <c r="E188" i="3"/>
  <c r="I188" i="3" s="1"/>
  <c r="C228" i="3"/>
  <c r="B231" i="3"/>
  <c r="D233" i="3"/>
  <c r="D236" i="3"/>
  <c r="C262" i="3"/>
  <c r="C265" i="3"/>
  <c r="B265" i="3"/>
  <c r="D277" i="3"/>
  <c r="D293" i="3"/>
  <c r="C303" i="3"/>
  <c r="C309" i="3"/>
  <c r="C317" i="3"/>
  <c r="B317" i="3"/>
  <c r="D317" i="3"/>
  <c r="C322" i="3"/>
  <c r="B342" i="3"/>
  <c r="B345" i="3"/>
  <c r="C373" i="3"/>
  <c r="D427" i="3"/>
  <c r="D451" i="3"/>
  <c r="E461" i="3"/>
  <c r="G461" i="3"/>
  <c r="D477" i="3"/>
  <c r="C477" i="3"/>
  <c r="B477" i="3"/>
  <c r="C116" i="3"/>
  <c r="B127" i="3"/>
  <c r="B140" i="3"/>
  <c r="E315" i="3"/>
  <c r="I315" i="3" s="1"/>
  <c r="D219" i="3"/>
  <c r="C288" i="3"/>
  <c r="C300" i="3"/>
  <c r="B300" i="3"/>
  <c r="B305" i="3"/>
  <c r="G326" i="3"/>
  <c r="I326" i="3" s="1"/>
  <c r="B347" i="3"/>
  <c r="C429" i="3"/>
  <c r="D90" i="3"/>
  <c r="D300" i="3"/>
  <c r="D338" i="3"/>
  <c r="C338" i="3"/>
  <c r="D432" i="3"/>
  <c r="D14" i="3"/>
  <c r="C14" i="3"/>
  <c r="B20" i="3"/>
  <c r="D22" i="3"/>
  <c r="B37" i="3"/>
  <c r="D41" i="3"/>
  <c r="D66" i="3"/>
  <c r="E39" i="3"/>
  <c r="I39" i="3" s="1"/>
  <c r="D46" i="3"/>
  <c r="D79" i="3"/>
  <c r="G91" i="3"/>
  <c r="D120" i="3"/>
  <c r="D131" i="3"/>
  <c r="C131" i="3"/>
  <c r="B141" i="3"/>
  <c r="D141" i="3"/>
  <c r="C141" i="3"/>
  <c r="D228" i="3"/>
  <c r="C231" i="3"/>
  <c r="G265" i="3"/>
  <c r="E265" i="3"/>
  <c r="I265" i="3" s="1"/>
  <c r="G297" i="3"/>
  <c r="E297" i="3"/>
  <c r="I297" i="3" s="1"/>
  <c r="G301" i="3"/>
  <c r="E301" i="3"/>
  <c r="C313" i="3"/>
  <c r="B313" i="3"/>
  <c r="B339" i="3"/>
  <c r="D339" i="3"/>
  <c r="D342" i="3"/>
  <c r="C122" i="3"/>
  <c r="B122" i="3"/>
  <c r="D135" i="3"/>
  <c r="C135" i="3"/>
  <c r="G281" i="3"/>
  <c r="E281" i="3"/>
  <c r="G429" i="3"/>
  <c r="E429" i="3"/>
  <c r="I429" i="3" s="1"/>
  <c r="D253" i="3"/>
  <c r="C341" i="3"/>
  <c r="B341" i="3"/>
  <c r="C385" i="3"/>
  <c r="B429" i="3"/>
  <c r="D460" i="3"/>
  <c r="C460" i="3"/>
  <c r="B460" i="3"/>
  <c r="C90" i="3"/>
  <c r="G344" i="3"/>
  <c r="I344" i="3" s="1"/>
  <c r="B101" i="3"/>
  <c r="C101" i="3"/>
  <c r="C106" i="3"/>
  <c r="D106" i="3"/>
  <c r="B106" i="3"/>
  <c r="C182" i="3"/>
  <c r="B182" i="3"/>
  <c r="G220" i="3"/>
  <c r="E220" i="3"/>
  <c r="G234" i="3"/>
  <c r="E234" i="3"/>
  <c r="G251" i="3"/>
  <c r="E251" i="3"/>
  <c r="G313" i="3"/>
  <c r="E313" i="3"/>
  <c r="I313" i="3" s="1"/>
  <c r="C390" i="3"/>
  <c r="D390" i="3"/>
  <c r="B390" i="3"/>
  <c r="D359" i="3"/>
  <c r="C359" i="3"/>
  <c r="D419" i="3"/>
  <c r="C419" i="3"/>
  <c r="B419" i="3"/>
  <c r="D95" i="3"/>
  <c r="C95" i="3"/>
  <c r="B95" i="3"/>
  <c r="B102" i="3"/>
  <c r="B135" i="3"/>
  <c r="D143" i="3"/>
  <c r="C143" i="3"/>
  <c r="B146" i="3"/>
  <c r="B258" i="3"/>
  <c r="B284" i="3"/>
  <c r="G305" i="3"/>
  <c r="E305" i="3"/>
  <c r="D71" i="3"/>
  <c r="C71" i="3"/>
  <c r="B71" i="3"/>
  <c r="C102" i="3"/>
  <c r="B270" i="3"/>
  <c r="C412" i="3"/>
  <c r="B412" i="3"/>
  <c r="D412" i="3"/>
  <c r="G67" i="3"/>
  <c r="E67" i="3"/>
  <c r="C23" i="3"/>
  <c r="B23" i="3"/>
  <c r="C58" i="3"/>
  <c r="D58" i="3"/>
  <c r="B58" i="3"/>
  <c r="B67" i="3"/>
  <c r="B77" i="3"/>
  <c r="C77" i="3"/>
  <c r="C82" i="3"/>
  <c r="D82" i="3"/>
  <c r="B82" i="3"/>
  <c r="B94" i="3"/>
  <c r="D101" i="3"/>
  <c r="E155" i="3"/>
  <c r="B158" i="3"/>
  <c r="G170" i="3"/>
  <c r="E170" i="3"/>
  <c r="D182" i="3"/>
  <c r="D206" i="3"/>
  <c r="C206" i="3"/>
  <c r="E208" i="3"/>
  <c r="I208" i="3" s="1"/>
  <c r="G217" i="3"/>
  <c r="D221" i="3"/>
  <c r="C221" i="3"/>
  <c r="B221" i="3"/>
  <c r="I229" i="3"/>
  <c r="B234" i="3"/>
  <c r="C255" i="3"/>
  <c r="B255" i="3"/>
  <c r="G268" i="3"/>
  <c r="E268" i="3"/>
  <c r="G283" i="3"/>
  <c r="E283" i="3"/>
  <c r="I283" i="3" s="1"/>
  <c r="D298" i="3"/>
  <c r="C298" i="3"/>
  <c r="D310" i="3"/>
  <c r="C310" i="3"/>
  <c r="C393" i="3"/>
  <c r="B393" i="3"/>
  <c r="D415" i="3"/>
  <c r="C415" i="3"/>
  <c r="G454" i="3"/>
  <c r="E454" i="3"/>
  <c r="I472" i="3"/>
  <c r="E211" i="3"/>
  <c r="G211" i="3"/>
  <c r="C308" i="3"/>
  <c r="B308" i="3"/>
  <c r="G348" i="3"/>
  <c r="E348" i="3"/>
  <c r="I348" i="3" s="1"/>
  <c r="D361" i="3"/>
  <c r="B361" i="3"/>
  <c r="C366" i="3"/>
  <c r="D366" i="3"/>
  <c r="B376" i="3"/>
  <c r="D376" i="3"/>
  <c r="C376" i="3"/>
  <c r="D436" i="3"/>
  <c r="C436" i="3"/>
  <c r="B446" i="3"/>
  <c r="D458" i="3"/>
  <c r="C458" i="3"/>
  <c r="B458" i="3"/>
  <c r="G472" i="3"/>
  <c r="D481" i="3"/>
  <c r="B481" i="3"/>
  <c r="B149" i="3"/>
  <c r="B151" i="3"/>
  <c r="B155" i="3"/>
  <c r="B157" i="3"/>
  <c r="B159" i="3"/>
  <c r="B173" i="3"/>
  <c r="C177" i="3"/>
  <c r="C198" i="3"/>
  <c r="B198" i="3"/>
  <c r="B211" i="3"/>
  <c r="B216" i="3"/>
  <c r="D223" i="3"/>
  <c r="C223" i="3"/>
  <c r="D230" i="3"/>
  <c r="C230" i="3"/>
  <c r="D254" i="3"/>
  <c r="C254" i="3"/>
  <c r="D263" i="3"/>
  <c r="C263" i="3"/>
  <c r="C273" i="3"/>
  <c r="B299" i="3"/>
  <c r="D308" i="3"/>
  <c r="D311" i="3"/>
  <c r="C311" i="3"/>
  <c r="C316" i="3"/>
  <c r="E327" i="3"/>
  <c r="I327" i="3" s="1"/>
  <c r="B343" i="3"/>
  <c r="B348" i="3"/>
  <c r="C361" i="3"/>
  <c r="B366" i="3"/>
  <c r="D371" i="3"/>
  <c r="C371" i="3"/>
  <c r="C387" i="3"/>
  <c r="B387" i="3"/>
  <c r="D397" i="3"/>
  <c r="B397" i="3"/>
  <c r="C402" i="3"/>
  <c r="D402" i="3"/>
  <c r="G425" i="3"/>
  <c r="E425" i="3"/>
  <c r="I425" i="3" s="1"/>
  <c r="B436" i="3"/>
  <c r="C446" i="3"/>
  <c r="G449" i="3"/>
  <c r="E449" i="3"/>
  <c r="D469" i="3"/>
  <c r="B469" i="3"/>
  <c r="C469" i="3"/>
  <c r="E478" i="3"/>
  <c r="I478" i="3" s="1"/>
  <c r="C481" i="3"/>
  <c r="C151" i="3"/>
  <c r="C159" i="3"/>
  <c r="D177" i="3"/>
  <c r="G209" i="3"/>
  <c r="E209" i="3"/>
  <c r="C211" i="3"/>
  <c r="C237" i="3"/>
  <c r="B237" i="3"/>
  <c r="D237" i="3"/>
  <c r="D273" i="3"/>
  <c r="D316" i="3"/>
  <c r="C348" i="3"/>
  <c r="D377" i="3"/>
  <c r="C377" i="3"/>
  <c r="C459" i="3"/>
  <c r="B459" i="3"/>
  <c r="B462" i="3"/>
  <c r="B285" i="3"/>
  <c r="D285" i="3"/>
  <c r="G343" i="3"/>
  <c r="E343" i="3"/>
  <c r="I343" i="3" s="1"/>
  <c r="D400" i="3"/>
  <c r="C400" i="3"/>
  <c r="C403" i="3"/>
  <c r="B403" i="3"/>
  <c r="C414" i="3"/>
  <c r="D414" i="3"/>
  <c r="D417" i="3"/>
  <c r="C417" i="3"/>
  <c r="B417" i="3"/>
  <c r="G423" i="3"/>
  <c r="E423" i="3"/>
  <c r="G462" i="3"/>
  <c r="E462" i="3"/>
  <c r="I462" i="3" s="1"/>
  <c r="D235" i="3"/>
  <c r="C235" i="3"/>
  <c r="B235" i="3"/>
  <c r="D242" i="3"/>
  <c r="C242" i="3"/>
  <c r="C285" i="3"/>
  <c r="B314" i="3"/>
  <c r="E340" i="3"/>
  <c r="G340" i="3"/>
  <c r="D349" i="3"/>
  <c r="B349" i="3"/>
  <c r="C354" i="3"/>
  <c r="D354" i="3"/>
  <c r="B354" i="3"/>
  <c r="C369" i="3"/>
  <c r="B369" i="3"/>
  <c r="B400" i="3"/>
  <c r="D403" i="3"/>
  <c r="C411" i="3"/>
  <c r="B411" i="3"/>
  <c r="B414" i="3"/>
  <c r="D431" i="3"/>
  <c r="C431" i="3"/>
  <c r="G459" i="3"/>
  <c r="I459" i="3" s="1"/>
  <c r="D479" i="3"/>
  <c r="C479" i="3"/>
  <c r="B479" i="3"/>
  <c r="C249" i="3"/>
  <c r="B249" i="3"/>
  <c r="B261" i="3"/>
  <c r="D261" i="3"/>
  <c r="D274" i="3"/>
  <c r="C274" i="3"/>
  <c r="C289" i="3"/>
  <c r="B289" i="3"/>
  <c r="C362" i="3"/>
  <c r="D362" i="3"/>
  <c r="C381" i="3"/>
  <c r="B381" i="3"/>
  <c r="C435" i="3"/>
  <c r="B435" i="3"/>
  <c r="G259" i="3"/>
  <c r="E259" i="3"/>
  <c r="I259" i="3" s="1"/>
  <c r="D287" i="3"/>
  <c r="C287" i="3"/>
  <c r="C315" i="3"/>
  <c r="B315" i="3"/>
  <c r="G321" i="3"/>
  <c r="E321" i="3"/>
  <c r="D407" i="3"/>
  <c r="C407" i="3"/>
  <c r="C447" i="3"/>
  <c r="B447" i="3"/>
  <c r="D482" i="3"/>
  <c r="C482" i="3"/>
  <c r="G447" i="3"/>
  <c r="E447" i="3"/>
  <c r="C471" i="3"/>
  <c r="B471" i="3"/>
  <c r="C423" i="3"/>
  <c r="B423" i="3"/>
  <c r="D433" i="3"/>
  <c r="B433" i="3"/>
  <c r="B438" i="3"/>
  <c r="B455" i="3"/>
  <c r="D471" i="3"/>
  <c r="D337" i="3"/>
  <c r="B337" i="3"/>
  <c r="C399" i="3"/>
  <c r="B399" i="3"/>
  <c r="B325" i="3"/>
  <c r="D325" i="3"/>
  <c r="D421" i="3"/>
  <c r="B421" i="3"/>
  <c r="D445" i="3"/>
  <c r="B445" i="3"/>
  <c r="D467" i="3"/>
  <c r="C467" i="3"/>
  <c r="G474" i="3"/>
  <c r="D483" i="3"/>
  <c r="C483" i="3"/>
  <c r="B483" i="3"/>
  <c r="D409" i="3"/>
  <c r="B409" i="3"/>
  <c r="D457" i="3"/>
  <c r="B457" i="3"/>
  <c r="G200" i="3" l="1"/>
  <c r="I200" i="3" s="1"/>
  <c r="E191" i="3"/>
  <c r="I191" i="3" s="1"/>
  <c r="E144" i="3"/>
  <c r="I144" i="3" s="1"/>
  <c r="E418" i="3"/>
  <c r="I418" i="3" s="1"/>
  <c r="E404" i="3"/>
  <c r="I404" i="3" s="1"/>
  <c r="E439" i="3"/>
  <c r="I439" i="3" s="1"/>
  <c r="G365" i="3"/>
  <c r="I365" i="3" s="1"/>
  <c r="E184" i="3"/>
  <c r="I184" i="3" s="1"/>
  <c r="I121" i="3"/>
  <c r="E226" i="3"/>
  <c r="I226" i="3" s="1"/>
  <c r="G149" i="3"/>
  <c r="G180" i="3"/>
  <c r="I180" i="3" s="1"/>
  <c r="G302" i="3"/>
  <c r="I302" i="3" s="1"/>
  <c r="E153" i="3"/>
  <c r="I153" i="3" s="1"/>
  <c r="E260" i="3"/>
  <c r="E464" i="3"/>
  <c r="I464" i="3" s="1"/>
  <c r="G202" i="3"/>
  <c r="I202" i="3" s="1"/>
  <c r="E364" i="3"/>
  <c r="I155" i="3"/>
  <c r="G453" i="3"/>
  <c r="I453" i="3" s="1"/>
  <c r="E94" i="3"/>
  <c r="I94" i="3" s="1"/>
  <c r="I474" i="3"/>
  <c r="G272" i="3"/>
  <c r="E280" i="3"/>
  <c r="I280" i="3" s="1"/>
  <c r="I413" i="3"/>
  <c r="I321" i="3"/>
  <c r="G413" i="3"/>
  <c r="E245" i="3"/>
  <c r="I245" i="3" s="1"/>
  <c r="E130" i="3"/>
  <c r="I130" i="3" s="1"/>
  <c r="E248" i="3"/>
  <c r="I248" i="3" s="1"/>
  <c r="I347" i="3"/>
  <c r="I102" i="3"/>
  <c r="E456" i="3"/>
  <c r="I456" i="3" s="1"/>
  <c r="I399" i="3"/>
  <c r="I77" i="3"/>
  <c r="E406" i="3"/>
  <c r="I406" i="3" s="1"/>
  <c r="G48" i="3"/>
  <c r="I48" i="3" s="1"/>
  <c r="G74" i="3"/>
  <c r="I74" i="3" s="1"/>
  <c r="E86" i="3"/>
  <c r="I86" i="3" s="1"/>
  <c r="E392" i="3"/>
  <c r="G392" i="3"/>
  <c r="I392" i="3" s="1"/>
  <c r="E252" i="3"/>
  <c r="I252" i="3" s="1"/>
  <c r="E410" i="3"/>
  <c r="I410" i="3" s="1"/>
  <c r="G278" i="3"/>
  <c r="E278" i="3"/>
  <c r="I278" i="3" s="1"/>
  <c r="G108" i="3"/>
  <c r="I108" i="3" s="1"/>
  <c r="I294" i="3"/>
  <c r="E332" i="3"/>
  <c r="I332" i="3" s="1"/>
  <c r="I91" i="3"/>
  <c r="G358" i="3"/>
  <c r="E358" i="3"/>
  <c r="G426" i="3"/>
  <c r="I426" i="3" s="1"/>
  <c r="E81" i="3"/>
  <c r="I81" i="3" s="1"/>
  <c r="E49" i="3"/>
  <c r="I49" i="3" s="1"/>
  <c r="E158" i="3"/>
  <c r="I158" i="3" s="1"/>
  <c r="G36" i="3"/>
  <c r="E36" i="3"/>
  <c r="I36" i="3" s="1"/>
  <c r="I423" i="3"/>
  <c r="I454" i="3"/>
  <c r="I268" i="3"/>
  <c r="G264" i="3"/>
  <c r="I264" i="3" s="1"/>
  <c r="E215" i="3"/>
  <c r="I215" i="3" s="1"/>
  <c r="E24" i="3"/>
  <c r="I24" i="3" s="1"/>
  <c r="E142" i="3"/>
  <c r="I324" i="3"/>
  <c r="I140" i="3"/>
  <c r="E441" i="3"/>
  <c r="I441" i="3" s="1"/>
  <c r="G448" i="3"/>
  <c r="I448" i="3" s="1"/>
  <c r="G160" i="3"/>
  <c r="I160" i="3" s="1"/>
  <c r="G112" i="3"/>
  <c r="E112" i="3"/>
  <c r="I216" i="3"/>
  <c r="E350" i="3"/>
  <c r="G350" i="3"/>
  <c r="E72" i="3"/>
  <c r="G72" i="3"/>
  <c r="E12" i="3"/>
  <c r="G163" i="3"/>
  <c r="E163" i="3"/>
  <c r="I163" i="3" s="1"/>
  <c r="G68" i="3"/>
  <c r="I68" i="3" s="1"/>
  <c r="E161" i="3"/>
  <c r="I161" i="3" s="1"/>
  <c r="E329" i="3"/>
  <c r="I329" i="3" s="1"/>
  <c r="G132" i="3"/>
  <c r="I132" i="3" s="1"/>
  <c r="E468" i="3"/>
  <c r="I468" i="3" s="1"/>
  <c r="G29" i="3"/>
  <c r="I29" i="3" s="1"/>
  <c r="I281" i="3"/>
  <c r="G424" i="3"/>
  <c r="I424" i="3" s="1"/>
  <c r="E318" i="3"/>
  <c r="I318" i="3" s="1"/>
  <c r="I355" i="3"/>
  <c r="I37" i="3"/>
  <c r="I272" i="3"/>
  <c r="E178" i="3"/>
  <c r="I178" i="3" s="1"/>
  <c r="I157" i="3"/>
  <c r="G480" i="3"/>
  <c r="E480" i="3"/>
  <c r="G330" i="3"/>
  <c r="E330" i="3"/>
  <c r="G239" i="3"/>
  <c r="E239" i="3"/>
  <c r="E476" i="3"/>
  <c r="G476" i="3"/>
  <c r="I476" i="3" s="1"/>
  <c r="G408" i="3"/>
  <c r="E408" i="3"/>
  <c r="I282" i="3"/>
  <c r="I435" i="3"/>
  <c r="I12" i="3"/>
  <c r="G214" i="3"/>
  <c r="E214" i="3"/>
  <c r="I214" i="3" s="1"/>
  <c r="E306" i="3"/>
  <c r="G306" i="3"/>
  <c r="I231" i="3"/>
  <c r="E99" i="3"/>
  <c r="G99" i="3"/>
  <c r="E291" i="3"/>
  <c r="G291" i="3"/>
  <c r="I232" i="3"/>
  <c r="E40" i="3"/>
  <c r="G40" i="3"/>
  <c r="E123" i="3"/>
  <c r="I123" i="3" s="1"/>
  <c r="E114" i="3"/>
  <c r="I114" i="3" s="1"/>
  <c r="G443" i="3"/>
  <c r="E443" i="3"/>
  <c r="E388" i="3"/>
  <c r="G388" i="3"/>
  <c r="G319" i="3"/>
  <c r="E319" i="3"/>
  <c r="G428" i="3"/>
  <c r="E428" i="3"/>
  <c r="G286" i="3"/>
  <c r="E286" i="3"/>
  <c r="I286" i="3" s="1"/>
  <c r="E379" i="3"/>
  <c r="G379" i="3"/>
  <c r="G416" i="3"/>
  <c r="E416" i="3"/>
  <c r="E150" i="3"/>
  <c r="G150" i="3"/>
  <c r="E98" i="3"/>
  <c r="I98" i="3" s="1"/>
  <c r="E224" i="3"/>
  <c r="I224" i="3" s="1"/>
  <c r="I124" i="3"/>
  <c r="G384" i="3"/>
  <c r="E384" i="3"/>
  <c r="I384" i="3" s="1"/>
  <c r="G205" i="3"/>
  <c r="E205" i="3"/>
  <c r="I196" i="3"/>
  <c r="E128" i="3"/>
  <c r="G128" i="3"/>
  <c r="G450" i="3"/>
  <c r="I450" i="3" s="1"/>
  <c r="G470" i="3"/>
  <c r="I470" i="3" s="1"/>
  <c r="E76" i="3"/>
  <c r="I76" i="3" s="1"/>
  <c r="E117" i="3"/>
  <c r="I117" i="3" s="1"/>
  <c r="G157" i="3"/>
  <c r="I288" i="3"/>
  <c r="I122" i="3"/>
  <c r="E70" i="3"/>
  <c r="I70" i="3" s="1"/>
  <c r="E212" i="3"/>
  <c r="I212" i="3" s="1"/>
  <c r="I411" i="3"/>
  <c r="E374" i="3"/>
  <c r="G374" i="3"/>
  <c r="E186" i="3"/>
  <c r="G186" i="3"/>
  <c r="E430" i="3"/>
  <c r="G430" i="3"/>
  <c r="G62" i="3"/>
  <c r="E62" i="3"/>
  <c r="G118" i="3"/>
  <c r="E118" i="3"/>
  <c r="I118" i="3" s="1"/>
  <c r="E375" i="3"/>
  <c r="I375" i="3" s="1"/>
  <c r="G126" i="3"/>
  <c r="E126" i="3"/>
  <c r="E351" i="3"/>
  <c r="G351" i="3"/>
  <c r="I381" i="3"/>
  <c r="E394" i="3"/>
  <c r="G394" i="3"/>
  <c r="I394" i="3" s="1"/>
  <c r="G395" i="3"/>
  <c r="E395" i="3"/>
  <c r="I395" i="3" s="1"/>
  <c r="G110" i="3"/>
  <c r="E110" i="3"/>
  <c r="G115" i="3"/>
  <c r="E115" i="3"/>
  <c r="I115" i="3" s="1"/>
  <c r="I364" i="3"/>
  <c r="G97" i="3"/>
  <c r="E97" i="3"/>
  <c r="I97" i="3" s="1"/>
  <c r="E333" i="3"/>
  <c r="I333" i="3" s="1"/>
  <c r="E247" i="3"/>
  <c r="G247" i="3"/>
  <c r="I247" i="3" s="1"/>
  <c r="E64" i="3"/>
  <c r="G64" i="3"/>
  <c r="G152" i="3"/>
  <c r="E152" i="3"/>
  <c r="E391" i="3"/>
  <c r="G391" i="3"/>
  <c r="I391" i="3" s="1"/>
  <c r="E356" i="3"/>
  <c r="G356" i="3"/>
  <c r="I367" i="3"/>
  <c r="E60" i="3"/>
  <c r="G60" i="3"/>
  <c r="G4" i="3"/>
  <c r="E4" i="3"/>
  <c r="G420" i="3"/>
  <c r="E420" i="3"/>
  <c r="I420" i="3" s="1"/>
  <c r="I194" i="3"/>
  <c r="G398" i="3"/>
  <c r="E398" i="3"/>
  <c r="I398" i="3" s="1"/>
  <c r="E299" i="3"/>
  <c r="I299" i="3" s="1"/>
  <c r="I170" i="3"/>
  <c r="I220" i="3"/>
  <c r="E244" i="3"/>
  <c r="I244" i="3" s="1"/>
  <c r="I149" i="3"/>
  <c r="I370" i="3"/>
  <c r="I31" i="3"/>
  <c r="I322" i="3"/>
  <c r="I6" i="3"/>
  <c r="I260" i="3"/>
  <c r="E323" i="3"/>
  <c r="G323" i="3"/>
  <c r="G405" i="3"/>
  <c r="E405" i="3"/>
  <c r="G434" i="3"/>
  <c r="E434" i="3"/>
  <c r="I434" i="3" s="1"/>
  <c r="E352" i="3"/>
  <c r="G352" i="3"/>
  <c r="G75" i="3"/>
  <c r="E75" i="3"/>
  <c r="I75" i="3" s="1"/>
  <c r="G440" i="3"/>
  <c r="E440" i="3"/>
  <c r="G16" i="3"/>
  <c r="E16" i="3"/>
  <c r="I16" i="3" s="1"/>
  <c r="G304" i="3"/>
  <c r="E304" i="3"/>
  <c r="G256" i="3"/>
  <c r="E256" i="3"/>
  <c r="I256" i="3" s="1"/>
  <c r="E53" i="3"/>
  <c r="G53" i="3"/>
  <c r="G431" i="3"/>
  <c r="E431" i="3"/>
  <c r="G371" i="3"/>
  <c r="E371" i="3"/>
  <c r="G182" i="3"/>
  <c r="E182" i="3"/>
  <c r="I182" i="3" s="1"/>
  <c r="E106" i="3"/>
  <c r="G106" i="3"/>
  <c r="E120" i="3"/>
  <c r="G120" i="3"/>
  <c r="G14" i="3"/>
  <c r="E14" i="3"/>
  <c r="I14" i="3" s="1"/>
  <c r="E147" i="3"/>
  <c r="G147" i="3"/>
  <c r="E69" i="3"/>
  <c r="G69" i="3"/>
  <c r="E93" i="3"/>
  <c r="G93" i="3"/>
  <c r="G210" i="3"/>
  <c r="E210" i="3"/>
  <c r="E133" i="3"/>
  <c r="G133" i="3"/>
  <c r="E258" i="3"/>
  <c r="G258" i="3"/>
  <c r="E83" i="3"/>
  <c r="G83" i="3"/>
  <c r="G63" i="3"/>
  <c r="E63" i="3"/>
  <c r="E421" i="3"/>
  <c r="G421" i="3"/>
  <c r="G177" i="3"/>
  <c r="E177" i="3"/>
  <c r="G263" i="3"/>
  <c r="E263" i="3"/>
  <c r="I263" i="3" s="1"/>
  <c r="E458" i="3"/>
  <c r="G458" i="3"/>
  <c r="G432" i="3"/>
  <c r="E432" i="3"/>
  <c r="G477" i="3"/>
  <c r="E477" i="3"/>
  <c r="E422" i="3"/>
  <c r="G422" i="3"/>
  <c r="G54" i="3"/>
  <c r="E54" i="3"/>
  <c r="E80" i="3"/>
  <c r="G80" i="3"/>
  <c r="E378" i="3"/>
  <c r="G378" i="3"/>
  <c r="I380" i="3"/>
  <c r="E409" i="3"/>
  <c r="G409" i="3"/>
  <c r="G325" i="3"/>
  <c r="E325" i="3"/>
  <c r="I325" i="3" s="1"/>
  <c r="E377" i="3"/>
  <c r="G377" i="3"/>
  <c r="G310" i="3"/>
  <c r="E310" i="3"/>
  <c r="I310" i="3" s="1"/>
  <c r="G236" i="3"/>
  <c r="E236" i="3"/>
  <c r="G52" i="3"/>
  <c r="E52" i="3"/>
  <c r="G345" i="3"/>
  <c r="E345" i="3"/>
  <c r="I345" i="3" s="1"/>
  <c r="G197" i="3"/>
  <c r="E197" i="3"/>
  <c r="I197" i="3" s="1"/>
  <c r="E116" i="3"/>
  <c r="G116" i="3"/>
  <c r="G199" i="3"/>
  <c r="E199" i="3"/>
  <c r="I199" i="3" s="1"/>
  <c r="E433" i="3"/>
  <c r="G433" i="3"/>
  <c r="E400" i="3"/>
  <c r="G400" i="3"/>
  <c r="G254" i="3"/>
  <c r="E254" i="3"/>
  <c r="I254" i="3" s="1"/>
  <c r="E143" i="3"/>
  <c r="G143" i="3"/>
  <c r="G79" i="3"/>
  <c r="E79" i="3"/>
  <c r="I461" i="3"/>
  <c r="G386" i="3"/>
  <c r="E386" i="3"/>
  <c r="I386" i="3" s="1"/>
  <c r="E275" i="3"/>
  <c r="G275" i="3"/>
  <c r="G47" i="3"/>
  <c r="E47" i="3"/>
  <c r="E59" i="3"/>
  <c r="G59" i="3"/>
  <c r="G109" i="3"/>
  <c r="E109" i="3"/>
  <c r="I109" i="3" s="1"/>
  <c r="E436" i="3"/>
  <c r="G436" i="3"/>
  <c r="E298" i="3"/>
  <c r="G298" i="3"/>
  <c r="E300" i="3"/>
  <c r="G300" i="3"/>
  <c r="G103" i="3"/>
  <c r="E103" i="3"/>
  <c r="E43" i="3"/>
  <c r="G43" i="3"/>
  <c r="G483" i="3"/>
  <c r="E483" i="3"/>
  <c r="I483" i="3" s="1"/>
  <c r="G407" i="3"/>
  <c r="E407" i="3"/>
  <c r="E316" i="3"/>
  <c r="G316" i="3"/>
  <c r="I211" i="3"/>
  <c r="G253" i="3"/>
  <c r="E253" i="3"/>
  <c r="G228" i="3"/>
  <c r="E228" i="3"/>
  <c r="I228" i="3" s="1"/>
  <c r="G26" i="3"/>
  <c r="E26" i="3"/>
  <c r="I26" i="3" s="1"/>
  <c r="G204" i="3"/>
  <c r="E204" i="3"/>
  <c r="E222" i="3"/>
  <c r="G222" i="3"/>
  <c r="E34" i="3"/>
  <c r="G34" i="3"/>
  <c r="I7" i="3"/>
  <c r="E362" i="3"/>
  <c r="G362" i="3"/>
  <c r="G479" i="3"/>
  <c r="E479" i="3"/>
  <c r="E285" i="3"/>
  <c r="G285" i="3"/>
  <c r="G273" i="3"/>
  <c r="E273" i="3"/>
  <c r="G230" i="3"/>
  <c r="E230" i="3"/>
  <c r="I230" i="3" s="1"/>
  <c r="E376" i="3"/>
  <c r="G376" i="3"/>
  <c r="G66" i="3"/>
  <c r="E66" i="3"/>
  <c r="G193" i="3"/>
  <c r="E193" i="3"/>
  <c r="I183" i="3"/>
  <c r="E21" i="3"/>
  <c r="G21" i="3"/>
  <c r="E237" i="3"/>
  <c r="G237" i="3"/>
  <c r="G101" i="3"/>
  <c r="E101" i="3"/>
  <c r="G41" i="3"/>
  <c r="E41" i="3"/>
  <c r="G451" i="3"/>
  <c r="E451" i="3"/>
  <c r="I451" i="3" s="1"/>
  <c r="G169" i="3"/>
  <c r="E169" i="3"/>
  <c r="I169" i="3" s="1"/>
  <c r="G284" i="3"/>
  <c r="E284" i="3"/>
  <c r="E469" i="3"/>
  <c r="G469" i="3"/>
  <c r="E397" i="3"/>
  <c r="G397" i="3"/>
  <c r="G311" i="3"/>
  <c r="E311" i="3"/>
  <c r="E366" i="3"/>
  <c r="G366" i="3"/>
  <c r="G71" i="3"/>
  <c r="E71" i="3"/>
  <c r="I71" i="3" s="1"/>
  <c r="G95" i="3"/>
  <c r="E95" i="3"/>
  <c r="E141" i="3"/>
  <c r="G141" i="3"/>
  <c r="G427" i="3"/>
  <c r="E427" i="3"/>
  <c r="G293" i="3"/>
  <c r="E293" i="3"/>
  <c r="E276" i="3"/>
  <c r="G276" i="3"/>
  <c r="G179" i="3"/>
  <c r="E179" i="3"/>
  <c r="I179" i="3" s="1"/>
  <c r="G467" i="3"/>
  <c r="E467" i="3"/>
  <c r="G337" i="3"/>
  <c r="E337" i="3"/>
  <c r="I337" i="3" s="1"/>
  <c r="G417" i="3"/>
  <c r="E417" i="3"/>
  <c r="I449" i="3"/>
  <c r="G308" i="3"/>
  <c r="E308" i="3"/>
  <c r="G481" i="3"/>
  <c r="E481" i="3"/>
  <c r="G206" i="3"/>
  <c r="E206" i="3"/>
  <c r="I206" i="3" s="1"/>
  <c r="I305" i="3"/>
  <c r="I251" i="3"/>
  <c r="G22" i="3"/>
  <c r="E22" i="3"/>
  <c r="G277" i="3"/>
  <c r="E277" i="3"/>
  <c r="G373" i="3"/>
  <c r="E373" i="3"/>
  <c r="E175" i="3"/>
  <c r="G175" i="3"/>
  <c r="I303" i="3"/>
  <c r="I312" i="3"/>
  <c r="I148" i="3"/>
  <c r="G85" i="3"/>
  <c r="E85" i="3"/>
  <c r="G185" i="3"/>
  <c r="E185" i="3"/>
  <c r="E104" i="3"/>
  <c r="G104" i="3"/>
  <c r="E30" i="3"/>
  <c r="G30" i="3"/>
  <c r="E168" i="3"/>
  <c r="G168" i="3"/>
  <c r="E156" i="3"/>
  <c r="G156" i="3"/>
  <c r="E457" i="3"/>
  <c r="G457" i="3"/>
  <c r="E460" i="3"/>
  <c r="G460" i="3"/>
  <c r="E336" i="3"/>
  <c r="G336" i="3"/>
  <c r="E129" i="3"/>
  <c r="G129" i="3"/>
  <c r="E354" i="3"/>
  <c r="G354" i="3"/>
  <c r="E412" i="3"/>
  <c r="G412" i="3"/>
  <c r="E296" i="3"/>
  <c r="G296" i="3"/>
  <c r="G87" i="3"/>
  <c r="E87" i="3"/>
  <c r="E235" i="3"/>
  <c r="G235" i="3"/>
  <c r="G225" i="3"/>
  <c r="E225" i="3"/>
  <c r="G111" i="3"/>
  <c r="E111" i="3"/>
  <c r="E338" i="3"/>
  <c r="G338" i="3"/>
  <c r="E317" i="3"/>
  <c r="G317" i="3"/>
  <c r="G119" i="3"/>
  <c r="E119" i="3"/>
  <c r="E32" i="3"/>
  <c r="G32" i="3"/>
  <c r="I192" i="3"/>
  <c r="E45" i="3"/>
  <c r="G45" i="3"/>
  <c r="G402" i="3"/>
  <c r="E402" i="3"/>
  <c r="I402" i="3" s="1"/>
  <c r="E58" i="3"/>
  <c r="G58" i="3"/>
  <c r="G390" i="3"/>
  <c r="E390" i="3"/>
  <c r="E342" i="3"/>
  <c r="G342" i="3"/>
  <c r="E309" i="3"/>
  <c r="G309" i="3"/>
  <c r="G403" i="3"/>
  <c r="E403" i="3"/>
  <c r="I403" i="3" s="1"/>
  <c r="E339" i="3"/>
  <c r="G339" i="3"/>
  <c r="G15" i="3"/>
  <c r="E15" i="3"/>
  <c r="E223" i="3"/>
  <c r="G223" i="3"/>
  <c r="G181" i="3"/>
  <c r="E181" i="3"/>
  <c r="G471" i="3"/>
  <c r="E471" i="3"/>
  <c r="I447" i="3"/>
  <c r="G414" i="3"/>
  <c r="E414" i="3"/>
  <c r="I414" i="3" s="1"/>
  <c r="G415" i="3"/>
  <c r="E415" i="3"/>
  <c r="I301" i="3"/>
  <c r="G241" i="3"/>
  <c r="E241" i="3"/>
  <c r="I446" i="3"/>
  <c r="G127" i="3"/>
  <c r="E127" i="3"/>
  <c r="I127" i="3" s="1"/>
  <c r="I320" i="3"/>
  <c r="G353" i="3"/>
  <c r="E353" i="3"/>
  <c r="G174" i="3"/>
  <c r="E174" i="3"/>
  <c r="G363" i="3"/>
  <c r="E363" i="3"/>
  <c r="G113" i="3"/>
  <c r="E113" i="3"/>
  <c r="I11" i="3"/>
  <c r="E145" i="3"/>
  <c r="G145" i="3"/>
  <c r="E261" i="3"/>
  <c r="G261" i="3"/>
  <c r="G154" i="3"/>
  <c r="E154" i="3"/>
  <c r="I154" i="3" s="1"/>
  <c r="G482" i="3"/>
  <c r="E482" i="3"/>
  <c r="G359" i="3"/>
  <c r="E359" i="3"/>
  <c r="G360" i="3"/>
  <c r="E360" i="3"/>
  <c r="I360" i="3" s="1"/>
  <c r="G61" i="3"/>
  <c r="E61" i="3"/>
  <c r="I61" i="3" s="1"/>
  <c r="G125" i="3"/>
  <c r="E125" i="3"/>
  <c r="I125" i="3" s="1"/>
  <c r="E171" i="3"/>
  <c r="G171" i="3"/>
  <c r="G221" i="3"/>
  <c r="E221" i="3"/>
  <c r="G219" i="3"/>
  <c r="E219" i="3"/>
  <c r="G233" i="3"/>
  <c r="E233" i="3"/>
  <c r="I233" i="3" s="1"/>
  <c r="E385" i="3"/>
  <c r="G385" i="3"/>
  <c r="G349" i="3"/>
  <c r="E349" i="3"/>
  <c r="I349" i="3" s="1"/>
  <c r="G46" i="3"/>
  <c r="E46" i="3"/>
  <c r="I46" i="3" s="1"/>
  <c r="G65" i="3"/>
  <c r="E65" i="3"/>
  <c r="I20" i="3"/>
  <c r="I340" i="3"/>
  <c r="G90" i="3"/>
  <c r="E90" i="3"/>
  <c r="G137" i="3"/>
  <c r="E137" i="3"/>
  <c r="G307" i="3"/>
  <c r="E307" i="3"/>
  <c r="G89" i="3"/>
  <c r="E89" i="3"/>
  <c r="G218" i="3"/>
  <c r="E218" i="3"/>
  <c r="G33" i="3"/>
  <c r="E33" i="3"/>
  <c r="E295" i="3"/>
  <c r="G295" i="3"/>
  <c r="I19" i="3"/>
  <c r="I13" i="3"/>
  <c r="E396" i="3"/>
  <c r="G396" i="3"/>
  <c r="G28" i="3"/>
  <c r="E28" i="3"/>
  <c r="G475" i="3"/>
  <c r="E475" i="3"/>
  <c r="E445" i="3"/>
  <c r="G445" i="3"/>
  <c r="G287" i="3"/>
  <c r="E287" i="3"/>
  <c r="G274" i="3"/>
  <c r="E274" i="3"/>
  <c r="G242" i="3"/>
  <c r="E242" i="3"/>
  <c r="I209" i="3"/>
  <c r="G361" i="3"/>
  <c r="E361" i="3"/>
  <c r="E82" i="3"/>
  <c r="G82" i="3"/>
  <c r="I67" i="3"/>
  <c r="G419" i="3"/>
  <c r="E419" i="3"/>
  <c r="I234" i="3"/>
  <c r="G135" i="3"/>
  <c r="E135" i="3"/>
  <c r="I135" i="3" s="1"/>
  <c r="G131" i="3"/>
  <c r="E131" i="3"/>
  <c r="I131" i="3" s="1"/>
  <c r="G213" i="3"/>
  <c r="E213" i="3"/>
  <c r="E146" i="3"/>
  <c r="G146" i="3"/>
  <c r="I270" i="3"/>
  <c r="E56" i="3"/>
  <c r="G56" i="3"/>
  <c r="I142" i="3"/>
  <c r="G195" i="3"/>
  <c r="E195" i="3"/>
  <c r="I195" i="3" s="1"/>
  <c r="G240" i="3"/>
  <c r="E240" i="3"/>
  <c r="I240" i="3" s="1"/>
  <c r="E201" i="3"/>
  <c r="G201" i="3"/>
  <c r="I107" i="3"/>
  <c r="G243" i="3"/>
  <c r="E243" i="3"/>
  <c r="I430" i="3" l="1"/>
  <c r="I28" i="3"/>
  <c r="I89" i="3"/>
  <c r="I174" i="3"/>
  <c r="I273" i="3"/>
  <c r="I407" i="3"/>
  <c r="I54" i="3"/>
  <c r="I177" i="3"/>
  <c r="I210" i="3"/>
  <c r="I304" i="3"/>
  <c r="I405" i="3"/>
  <c r="I239" i="3"/>
  <c r="I350" i="3"/>
  <c r="I274" i="3"/>
  <c r="I137" i="3"/>
  <c r="I471" i="3"/>
  <c r="I225" i="3"/>
  <c r="I440" i="3"/>
  <c r="I152" i="3"/>
  <c r="I110" i="3"/>
  <c r="I205" i="3"/>
  <c r="I480" i="3"/>
  <c r="I112" i="3"/>
  <c r="I400" i="3"/>
  <c r="I428" i="3"/>
  <c r="I146" i="3"/>
  <c r="I82" i="3"/>
  <c r="I475" i="3"/>
  <c r="I218" i="3"/>
  <c r="I363" i="3"/>
  <c r="I15" i="3"/>
  <c r="I22" i="3"/>
  <c r="I72" i="3"/>
  <c r="I242" i="3"/>
  <c r="I307" i="3"/>
  <c r="I353" i="3"/>
  <c r="I111" i="3"/>
  <c r="I467" i="3"/>
  <c r="I95" i="3"/>
  <c r="I284" i="3"/>
  <c r="I204" i="3"/>
  <c r="I79" i="3"/>
  <c r="I126" i="3"/>
  <c r="I416" i="3"/>
  <c r="I443" i="3"/>
  <c r="I306" i="3"/>
  <c r="I358" i="3"/>
  <c r="I186" i="3"/>
  <c r="I150" i="3"/>
  <c r="I356" i="3"/>
  <c r="I374" i="3"/>
  <c r="I128" i="3"/>
  <c r="I323" i="3"/>
  <c r="I330" i="3"/>
  <c r="I379" i="3"/>
  <c r="I56" i="3"/>
  <c r="I295" i="3"/>
  <c r="I32" i="3"/>
  <c r="I336" i="3"/>
  <c r="I59" i="3"/>
  <c r="I213" i="3"/>
  <c r="I361" i="3"/>
  <c r="I65" i="3"/>
  <c r="I221" i="3"/>
  <c r="I482" i="3"/>
  <c r="I415" i="3"/>
  <c r="I85" i="3"/>
  <c r="I417" i="3"/>
  <c r="I427" i="3"/>
  <c r="I101" i="3"/>
  <c r="I236" i="3"/>
  <c r="I53" i="3"/>
  <c r="I352" i="3"/>
  <c r="I60" i="3"/>
  <c r="I319" i="3"/>
  <c r="I351" i="3"/>
  <c r="I235" i="3"/>
  <c r="I69" i="3"/>
  <c r="I40" i="3"/>
  <c r="I445" i="3"/>
  <c r="I223" i="3"/>
  <c r="I460" i="3"/>
  <c r="I362" i="3"/>
  <c r="I83" i="3"/>
  <c r="I147" i="3"/>
  <c r="I4" i="3"/>
  <c r="I64" i="3"/>
  <c r="I62" i="3"/>
  <c r="I99" i="3"/>
  <c r="I388" i="3"/>
  <c r="I43" i="3"/>
  <c r="I291" i="3"/>
  <c r="I408" i="3"/>
  <c r="I296" i="3"/>
  <c r="I317" i="3"/>
  <c r="I457" i="3"/>
  <c r="I300" i="3"/>
  <c r="I275" i="3"/>
  <c r="I58" i="3"/>
  <c r="I34" i="3"/>
  <c r="I433" i="3"/>
  <c r="I338" i="3"/>
  <c r="I298" i="3"/>
  <c r="I120" i="3"/>
  <c r="I141" i="3"/>
  <c r="I237" i="3"/>
  <c r="I436" i="3"/>
  <c r="I261" i="3"/>
  <c r="I377" i="3"/>
  <c r="I129" i="3"/>
  <c r="I175" i="3"/>
  <c r="I285" i="3"/>
  <c r="I422" i="3"/>
  <c r="I421" i="3"/>
  <c r="I93" i="3"/>
  <c r="I419" i="3"/>
  <c r="I287" i="3"/>
  <c r="I90" i="3"/>
  <c r="I385" i="3"/>
  <c r="I145" i="3"/>
  <c r="I181" i="3"/>
  <c r="I309" i="3"/>
  <c r="I30" i="3"/>
  <c r="I373" i="3"/>
  <c r="I481" i="3"/>
  <c r="I193" i="3"/>
  <c r="I479" i="3"/>
  <c r="I143" i="3"/>
  <c r="I477" i="3"/>
  <c r="I63" i="3"/>
  <c r="I371" i="3"/>
  <c r="I378" i="3"/>
  <c r="I201" i="3"/>
  <c r="I397" i="3"/>
  <c r="I339" i="3"/>
  <c r="I80" i="3"/>
  <c r="I171" i="3"/>
  <c r="I396" i="3"/>
  <c r="I354" i="3"/>
  <c r="I106" i="3"/>
  <c r="I45" i="3"/>
  <c r="I21" i="3"/>
  <c r="I116" i="3"/>
  <c r="I376" i="3"/>
  <c r="I458" i="3"/>
  <c r="I412" i="3"/>
  <c r="I316" i="3"/>
  <c r="I156" i="3"/>
  <c r="I469" i="3"/>
  <c r="I222" i="3"/>
  <c r="I168" i="3"/>
  <c r="I243" i="3"/>
  <c r="I33" i="3"/>
  <c r="I113" i="3"/>
  <c r="I241" i="3"/>
  <c r="I342" i="3"/>
  <c r="I119" i="3"/>
  <c r="I87" i="3"/>
  <c r="I104" i="3"/>
  <c r="I277" i="3"/>
  <c r="I308" i="3"/>
  <c r="I276" i="3"/>
  <c r="I366" i="3"/>
  <c r="I66" i="3"/>
  <c r="I103" i="3"/>
  <c r="I47" i="3"/>
  <c r="I409" i="3"/>
  <c r="I432" i="3"/>
  <c r="I431" i="3"/>
  <c r="I258" i="3"/>
  <c r="I133" i="3"/>
  <c r="I219" i="3"/>
  <c r="I359" i="3"/>
  <c r="I390" i="3"/>
  <c r="I185" i="3"/>
  <c r="I293" i="3"/>
  <c r="I311" i="3"/>
  <c r="I41" i="3"/>
  <c r="I253" i="3"/>
  <c r="I52" i="3"/>
</calcChain>
</file>

<file path=xl/sharedStrings.xml><?xml version="1.0" encoding="utf-8"?>
<sst xmlns="http://schemas.openxmlformats.org/spreadsheetml/2006/main" count="1284" uniqueCount="219">
  <si>
    <t>DK CRICKET OPS — SIMPLE GROUND SCHEDULING</t>
  </si>
  <si>
    <t>Default schedule</t>
  </si>
  <si>
    <t>AK Club DY Patil Ground has one row for every Saturday and Sunday through 28-Feb-2027.</t>
  </si>
  <si>
    <t>Collaboration ground needed?</t>
  </si>
  <si>
    <t>When you book MCG or Lords of Maval, insert a new row under that date, copy an existing schedule row, and change Ground to MCG Ground or Lords of Maval.</t>
  </si>
  <si>
    <t>Fixture entry</t>
  </si>
  <si>
    <t>For leather matches, type Team A vs Team B into one leather slot cell. Keep the exact format with spaces around 'vs'.</t>
  </si>
  <si>
    <t>Payments</t>
  </si>
  <si>
    <t>The Leather Payment Tracker splits Team A and Team B automatically. Select Pending or Paid separately when each team's GPay payment arrives.</t>
  </si>
  <si>
    <t>Important</t>
  </si>
  <si>
    <t>Do not type a collaboration match into the AK Club row unless it is actually happening at AK Club DY Patil Ground.</t>
  </si>
  <si>
    <t>DK CRICKET OPS — WEEKEND GROUND &amp; MATCH SCHEDULE</t>
  </si>
  <si>
    <t>Default view: AK Club DY Patil Ground is pre-listed every Saturday/Sunday through 28-Feb-2027. MCG and Lords of Maval appear only when an existing booking/match is recorded; add a row for either collaboration ground only when needed. Enter leather fixtures as Team A vs Team B.</t>
  </si>
  <si>
    <t>Date</t>
  </si>
  <si>
    <t>Day</t>
  </si>
  <si>
    <t>Ground</t>
  </si>
  <si>
    <t>07:00 AM Slot</t>
  </si>
  <si>
    <t>09:00 AM Tennis Slot</t>
  </si>
  <si>
    <t>Leather Slot</t>
  </si>
  <si>
    <t>10:30 AM Slot</t>
  </si>
  <si>
    <t>12:00 PM Slot</t>
  </si>
  <si>
    <t>02:00 PM Slot</t>
  </si>
  <si>
    <t>03:30 PM Slot</t>
  </si>
  <si>
    <t>Booking / Notes</t>
  </si>
  <si>
    <t>Ground Status</t>
  </si>
  <si>
    <t>CCL</t>
  </si>
  <si>
    <t>Winter Championship</t>
  </si>
  <si>
    <t>Pink County Cup</t>
  </si>
  <si>
    <t>Corporate Strikers</t>
  </si>
  <si>
    <t>AK Club Quadrangular</t>
  </si>
  <si>
    <t>Payment Received — Team Name(s)</t>
  </si>
  <si>
    <t>Saturday</t>
  </si>
  <si>
    <t>AK Club DY Patil Ground</t>
  </si>
  <si>
    <t>Available</t>
  </si>
  <si>
    <t>Rising Champions</t>
  </si>
  <si>
    <t>HITMAN SPORTS S4</t>
  </si>
  <si>
    <t>Shivas Smashers</t>
  </si>
  <si>
    <t>Pune Titans</t>
  </si>
  <si>
    <t>Team Aristo</t>
  </si>
  <si>
    <t>MCG Ground</t>
  </si>
  <si>
    <t>Parents Pay vs Decisive XI</t>
  </si>
  <si>
    <t>Ktown Night Riders vs Western Warriors</t>
  </si>
  <si>
    <t>Scheduled</t>
  </si>
  <si>
    <t>Om Cricket Club (Pune)</t>
  </si>
  <si>
    <t>Batboys</t>
  </si>
  <si>
    <t>Deccan Shiledars</t>
  </si>
  <si>
    <t>Lords of Maval</t>
  </si>
  <si>
    <t>Booked CT1 Bhushan</t>
  </si>
  <si>
    <t>EPAM CC</t>
  </si>
  <si>
    <t>Team Aristo vs Scoring Swords</t>
  </si>
  <si>
    <t>Hitman Sports vs Boundaryline</t>
  </si>
  <si>
    <t>Booked</t>
  </si>
  <si>
    <t>Pattern Strikers</t>
  </si>
  <si>
    <t>Boundary Line Elite - XI</t>
  </si>
  <si>
    <t>Black Caps 11</t>
  </si>
  <si>
    <t>BR Bulls</t>
  </si>
  <si>
    <t>Phoenix Risers</t>
  </si>
  <si>
    <t>Sunday</t>
  </si>
  <si>
    <t>SCC United</t>
  </si>
  <si>
    <t>Scoring Swords (Pune)</t>
  </si>
  <si>
    <t>Royals XI</t>
  </si>
  <si>
    <t>Booked LR Arezo Kings</t>
  </si>
  <si>
    <t>Titan Wolves vs Royal Strikers</t>
  </si>
  <si>
    <t>Practice Match</t>
  </si>
  <si>
    <t>Royal Strikers -2024</t>
  </si>
  <si>
    <t>Topguns Cricket Club</t>
  </si>
  <si>
    <t>Titan Wolves</t>
  </si>
  <si>
    <t>Booked DC United</t>
  </si>
  <si>
    <t>Phoenix Risers vs Overtime Hitters</t>
  </si>
  <si>
    <t>Batboys vs Boundary Line</t>
  </si>
  <si>
    <t>Vajra Vikings</t>
  </si>
  <si>
    <t>Top Gun Mavericks</t>
  </si>
  <si>
    <t>STALLION STRIKERS</t>
  </si>
  <si>
    <t>Bharam 11 vs Scoring Swords</t>
  </si>
  <si>
    <t>Decisive 11 vs Bravebulls</t>
  </si>
  <si>
    <t>Boundary Line vs Royals 11</t>
  </si>
  <si>
    <t>Sangha vs University</t>
  </si>
  <si>
    <t>Microland vs Strikeforge</t>
  </si>
  <si>
    <t>Strikeforge vs Township (P)</t>
  </si>
  <si>
    <t>TopGun Mavericks vs Scoring Swords</t>
  </si>
  <si>
    <t>SJ Warriors vs Royal Strikers</t>
  </si>
  <si>
    <t>Team Aristo vs Boundary Line</t>
  </si>
  <si>
    <t>Team Aristo vs Phoenix Risers</t>
  </si>
  <si>
    <t>Sangha vs BR Bulls — Semi</t>
  </si>
  <si>
    <t>Pattern Strikers vs Titan Wolves</t>
  </si>
  <si>
    <t>Black Caps vs Topguns Cricket Club</t>
  </si>
  <si>
    <t>OM Cricket Club vs Rising Champions</t>
  </si>
  <si>
    <t>Vajra Vikings vs SCC United</t>
  </si>
  <si>
    <t>Team Aristo vs Hitman Sports</t>
  </si>
  <si>
    <t>Phoenix Risers vs Deccan Shiledar</t>
  </si>
  <si>
    <t>Boundary Line vs TopGun Mavericks</t>
  </si>
  <si>
    <t>Topguns Cricket Club vs Batboys</t>
  </si>
  <si>
    <t>Scoring Swords vs Royals XI</t>
  </si>
  <si>
    <t>Scoring Swords vs Hitman Sports</t>
  </si>
  <si>
    <t>Titan Wolves vs OM Cricket Club</t>
  </si>
  <si>
    <t>Pattern Strikers vs SCC United</t>
  </si>
  <si>
    <t>Scoring Swords vs Boundary Line</t>
  </si>
  <si>
    <t>Vajra Vikings vs Titan Wolves</t>
  </si>
  <si>
    <t>Royal Strikers vs Rising Champions</t>
  </si>
  <si>
    <t>Team Aristo vs TopGun Mavericks</t>
  </si>
  <si>
    <t>Vajra Vikings vs OM Cricket Club</t>
  </si>
  <si>
    <t>DK CRICKET OPS — AUTO-LINKED MATCH PAYMENT TRACKER</t>
  </si>
  <si>
    <t>Enter each match in Ground Schedule as Team A vs Team B in a slot (columns F:J). Every match appears here automatically with separate payment dropdowns for both teams. 3 matches = 6 team payment markings; 2 matches = 4 markings.</t>
  </si>
  <si>
    <t>Match Date</t>
  </si>
  <si>
    <t>Time Slot</t>
  </si>
  <si>
    <t>Fixture (linked)</t>
  </si>
  <si>
    <t>Team A</t>
  </si>
  <si>
    <t>Team A Payment</t>
  </si>
  <si>
    <t>Team B</t>
  </si>
  <si>
    <t>Team B Payment</t>
  </si>
  <si>
    <t>Overall Status</t>
  </si>
  <si>
    <t>Payment Notes</t>
  </si>
  <si>
    <t>DK Cricket Ops — How to use this workbook</t>
  </si>
  <si>
    <t>1. Ground Schedule keeps Date, Day and Ground frozen while you scroll across the slots.</t>
  </si>
  <si>
    <t>2. Keep tennis advance bookings in the morning tennis slot; use leather slots for practice or tournament matches.</t>
  </si>
  <si>
    <t>3. Enter each fixture in the appropriate time-slot cell. Keep the ground and booking notes in the same row.</t>
  </si>
  <si>
    <t>4. Use Ground Status to mark Booked, Scheduled, Available or Completed.</t>
  </si>
  <si>
    <t>5. In the last column, enter the name(s) of teams whose payments have arrived. Leave it blank while payment is pending.</t>
  </si>
  <si>
    <t>6. Tournament Teams has a separate team list for each tournament based on the screenshots provided. Verify spellings and add/remove teams as needed.</t>
  </si>
  <si>
    <t>7. The workbook is a manual tracker and does not sync with CricHeroes or UPI automatically.</t>
  </si>
  <si>
    <t>8. Round Robin Fixtures contains every unique league pairing once per tournament; enter date, ground and slot as you schedule matches.</t>
  </si>
  <si>
    <t>9. Mark a fixture Completed after the match. Team A and Team B payments are tracked separately as Pending/Paid.</t>
  </si>
  <si>
    <t>Leather Payment Tracker</t>
  </si>
  <si>
    <t>Enter one match per row; mark Team A and Team B independently as Pending/Paid/Not Applicable. Paid turns green, Pending orange, and overall status updates automatically.</t>
  </si>
  <si>
    <t>Ground schedule correction</t>
  </si>
  <si>
    <t>Weekend dates are restored from the original transcription. Each Saturday/Sunday has 3 rows. Entries whose ground was blank in the photo are labeled Ground TBC instead of guessing. Strong contrasting colours distinguish ground, tennis slots, leather slots, and booking status.</t>
  </si>
  <si>
    <t>Tournament Name</t>
  </si>
  <si>
    <t>Fixture / Team Names visible in photo</t>
  </si>
  <si>
    <t>No fixture names visible in photo</t>
  </si>
  <si>
    <t>DK CRICKET OPS — TOURNAMENT TEAM DIRECTORY</t>
  </si>
  <si>
    <t>Teams below are taken from your screenshots. Review any spelling or tournament membership that needs correction.</t>
  </si>
  <si>
    <t>CCL Pune (Corporate T20 Champions League)</t>
  </si>
  <si>
    <t>AK Club Quadrangular Cup</t>
  </si>
  <si>
    <t>S.I Warriors</t>
  </si>
  <si>
    <t>DK CRICKET OPS — ROUND ROBIN FIXTURES</t>
  </si>
  <si>
    <t>Every team pair appears once per tournament. Status is editable: Completed / Scheduled / To Be Scheduled / Cancelled.</t>
  </si>
  <si>
    <t>Tournament</t>
  </si>
  <si>
    <t>Round</t>
  </si>
  <si>
    <t>Match No.</t>
  </si>
  <si>
    <t>Fixture</t>
  </si>
  <si>
    <t>Status</t>
  </si>
  <si>
    <t>Notes</t>
  </si>
  <si>
    <t>Boundary Line Elite - XI vs Top Gun Mavericks</t>
  </si>
  <si>
    <t>To Be Scheduled</t>
  </si>
  <si>
    <t>Pending</t>
  </si>
  <si>
    <t>HITMAN SPORTS S4 vs Team Aristo</t>
  </si>
  <si>
    <t>Royals XI vs Scoring Swords (Pune)</t>
  </si>
  <si>
    <t>Batboys vs Top Gun Mavericks</t>
  </si>
  <si>
    <t>Boundary Line Elite - XI vs Scoring Swords (Pune)</t>
  </si>
  <si>
    <t>HITMAN SPORTS S4 vs Royals XI</t>
  </si>
  <si>
    <t>Batboys vs Team Aristo</t>
  </si>
  <si>
    <t>Top Gun Mavericks vs Scoring Swords (Pune)</t>
  </si>
  <si>
    <t>Boundary Line Elite - XI vs HITMAN SPORTS S4</t>
  </si>
  <si>
    <t>Batboys vs Scoring Swords (Pune)</t>
  </si>
  <si>
    <t>Team Aristo vs Royals XI</t>
  </si>
  <si>
    <t>Top Gun Mavericks vs HITMAN SPORTS S4</t>
  </si>
  <si>
    <t>Batboys vs Royals XI</t>
  </si>
  <si>
    <t>Scoring Swords (Pune) vs HITMAN SPORTS S4</t>
  </si>
  <si>
    <t>Team Aristo vs Boundary Line Elite - XI</t>
  </si>
  <si>
    <t>Batboys vs HITMAN SPORTS S4</t>
  </si>
  <si>
    <t>Royals XI vs Boundary Line Elite - XI</t>
  </si>
  <si>
    <t>Team Aristo vs Top Gun Mavericks</t>
  </si>
  <si>
    <t>Batboys vs Boundary Line Elite - XI</t>
  </si>
  <si>
    <t>Royals XI vs Top Gun Mavericks</t>
  </si>
  <si>
    <t>Scoring Swords (Pune) vs Team Aristo</t>
  </si>
  <si>
    <t>Batboys vs Topguns Cricket Club</t>
  </si>
  <si>
    <t>Black Caps 11 vs Shivas Smashers</t>
  </si>
  <si>
    <t>Batboys vs Shivas Smashers</t>
  </si>
  <si>
    <t>Topguns Cricket Club vs Black Caps 11</t>
  </si>
  <si>
    <t>Batboys vs Black Caps 11</t>
  </si>
  <si>
    <t>Shivas Smashers vs Topguns Cricket Club</t>
  </si>
  <si>
    <t>BR Bulls vs STALLION STRIKERS</t>
  </si>
  <si>
    <t>Pune Titans vs S.I Warriors</t>
  </si>
  <si>
    <t>Royal Strikers -2024 vs Royals XI</t>
  </si>
  <si>
    <t>Batboys vs STALLION STRIKERS</t>
  </si>
  <si>
    <t>BR Bulls vs Royals XI</t>
  </si>
  <si>
    <t>Pune Titans vs Royal Strikers -2024</t>
  </si>
  <si>
    <t>Batboys vs S.I Warriors</t>
  </si>
  <si>
    <t>STALLION STRIKERS vs Royals XI</t>
  </si>
  <si>
    <t>BR Bulls vs Pune Titans</t>
  </si>
  <si>
    <t>S.I Warriors vs Royal Strikers -2024</t>
  </si>
  <si>
    <t>STALLION STRIKERS vs Pune Titans</t>
  </si>
  <si>
    <t>Batboys vs Royal Strikers -2024</t>
  </si>
  <si>
    <t>Royals XI vs Pune Titans</t>
  </si>
  <si>
    <t>S.I Warriors vs BR Bulls</t>
  </si>
  <si>
    <t>Batboys vs Pune Titans</t>
  </si>
  <si>
    <t>Royal Strikers -2024 vs BR Bulls</t>
  </si>
  <si>
    <t>S.I Warriors vs STALLION STRIKERS</t>
  </si>
  <si>
    <t>Batboys vs BR Bulls</t>
  </si>
  <si>
    <t>Royal Strikers -2024 vs STALLION STRIKERS</t>
  </si>
  <si>
    <t>Royals XI vs S.I Warriors</t>
  </si>
  <si>
    <t>Deccan Shiledars vs Titan Wolves</t>
  </si>
  <si>
    <t>Phoenix Risers vs Team Aristo</t>
  </si>
  <si>
    <t>Deccan Shiledars vs Team Aristo</t>
  </si>
  <si>
    <t>Titan Wolves vs Phoenix Risers</t>
  </si>
  <si>
    <t>Deccan Shiledars vs Phoenix Risers</t>
  </si>
  <si>
    <t>Team Aristo vs Titan Wolves</t>
  </si>
  <si>
    <t>DK CRICKET OPS — LEATHER MATCH PAYMENT TRACKER</t>
  </si>
  <si>
    <t>Track each leather match here. Team A and Team B payments are separate because each team pays independently by GPay. Select Pending / Paid / Not Applicable from each dropdown.</t>
  </si>
  <si>
    <t>Overall Payment Status</t>
  </si>
  <si>
    <t>2026-10-02</t>
  </si>
  <si>
    <t>10:30 AM</t>
  </si>
  <si>
    <t>Overtime Hitters</t>
  </si>
  <si>
    <t>2026-10-03</t>
  </si>
  <si>
    <t>02:00 PM</t>
  </si>
  <si>
    <t>2026-10-04</t>
  </si>
  <si>
    <t>2026-10-10</t>
  </si>
  <si>
    <t>Previously marked completed in schedule; confirm if payments were received.</t>
  </si>
  <si>
    <t>2026-10-11</t>
  </si>
  <si>
    <t>Bharam 11</t>
  </si>
  <si>
    <t>Microland</t>
  </si>
  <si>
    <t>Strikeforge</t>
  </si>
  <si>
    <t>12:00 PM</t>
  </si>
  <si>
    <t>Sangha University</t>
  </si>
  <si>
    <t>Practice match — use if payment is applicable.</t>
  </si>
  <si>
    <t>2026-10-17</t>
  </si>
  <si>
    <t>Township (P)</t>
  </si>
  <si>
    <t>Upcoming match; track each team payment separately.</t>
  </si>
  <si>
    <t>2026-10-18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</si>
</sst>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\-mmm\-yyyy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6"/>
      <color rgb="FFFFFFFF"/>
      <name val="Aptos Display"/>
    </font>
    <font>
      <i/>
      <sz val="10"/>
      <color rgb="FF666666"/>
      <name val="Calibri"/>
    </font>
    <font>
      <b/>
      <sz val="14"/>
      <color rgb="FFFFFFFF"/>
      <name val="Calibri"/>
    </font>
    <font>
      <sz val="10"/>
      <color rgb="FF1F2937"/>
      <name val="Aptos"/>
    </font>
    <font>
      <sz val="9"/>
      <color rgb="FF1F2937"/>
      <name val="Aptos"/>
    </font>
    <font>
      <i/>
      <sz val="10"/>
      <color rgb="FF44546A"/>
      <name val="Aptos"/>
    </font>
    <font>
      <b/>
      <sz val="10"/>
      <color rgb="FFFFFFFF"/>
      <name val="Aptos"/>
    </font>
    <font>
      <b/>
      <sz val="15"/>
      <color rgb="FFFFFFFF"/>
      <name val="Aptos Display"/>
    </font>
    <font>
      <i/>
      <sz val="10"/>
      <color rgb="FF7F6000"/>
      <name val="Aptos"/>
    </font>
    <font>
      <b/>
      <sz val="9"/>
      <color rgb="FF17365D"/>
      <name val="Aptos"/>
    </font>
    <font>
      <b/>
      <sz val="10"/>
      <color rgb="FF1F2937"/>
      <name val="Aptos"/>
    </font>
    <font>
      <i/>
      <sz val="10"/>
      <color rgb="FF404040"/>
      <name val="Aptos"/>
    </font>
    <font>
      <b/>
      <sz val="11"/>
      <color rgb="FF17365D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264653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3F6FA"/>
      </patternFill>
    </fill>
    <fill>
      <patternFill patternType="solid">
        <fgColor rgb="FFFCE4D6"/>
      </patternFill>
    </fill>
    <fill>
      <patternFill patternType="solid">
        <fgColor rgb="FFF5F8FC"/>
      </patternFill>
    </fill>
    <fill>
      <patternFill patternType="solid">
        <fgColor rgb="FFDDEBF7"/>
      </patternFill>
    </fill>
    <fill>
      <patternFill patternType="solid">
        <fgColor rgb="FFF4F7FB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008C95"/>
      </patternFill>
    </fill>
    <fill>
      <patternFill patternType="solid">
        <fgColor rgb="FFF8FAFC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/>
      <right/>
      <top/>
      <bottom style="thin">
        <color rgb="FFD5DDE8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7E2F0"/>
      </bottom>
      <diagonal/>
    </border>
    <border>
      <left/>
      <right/>
      <top/>
      <bottom style="thin">
        <color rgb="FFD6DEE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0" fillId="11" borderId="3" xfId="0" applyFill="1" applyBorder="1" applyAlignment="1">
      <alignment vertical="center" wrapText="1"/>
    </xf>
    <xf numFmtId="164" fontId="0" fillId="11" borderId="3" xfId="0" applyNumberFormat="1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164" fontId="0" fillId="0" borderId="3" xfId="0" applyNumberFormat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9" fillId="6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65" fontId="12" fillId="9" borderId="5" xfId="0" applyNumberFormat="1" applyFont="1" applyFill="1" applyBorder="1" applyAlignment="1">
      <alignment vertical="center" wrapText="1"/>
    </xf>
    <xf numFmtId="0" fontId="12" fillId="9" borderId="5" xfId="0" applyFont="1" applyFill="1" applyBorder="1" applyAlignment="1">
      <alignment vertical="center" wrapText="1"/>
    </xf>
    <xf numFmtId="0" fontId="13" fillId="14" borderId="5" xfId="0" applyFont="1" applyFill="1" applyBorder="1" applyAlignment="1">
      <alignment vertical="center" wrapText="1"/>
    </xf>
    <xf numFmtId="0" fontId="7" fillId="19" borderId="5" xfId="0" applyFont="1" applyFill="1" applyBorder="1" applyAlignment="1">
      <alignment vertical="center" wrapText="1"/>
    </xf>
    <xf numFmtId="0" fontId="7" fillId="20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8" borderId="5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vertical="center" wrapText="1"/>
    </xf>
    <xf numFmtId="0" fontId="7" fillId="15" borderId="5" xfId="0" applyFont="1" applyFill="1" applyBorder="1" applyAlignment="1">
      <alignment vertical="center" wrapText="1"/>
    </xf>
    <xf numFmtId="0" fontId="13" fillId="12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65" fontId="6" fillId="13" borderId="5" xfId="0" applyNumberFormat="1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165" fontId="7" fillId="15" borderId="5" xfId="0" applyNumberFormat="1" applyFont="1" applyFill="1" applyBorder="1" applyAlignment="1">
      <alignment vertical="center" wrapText="1"/>
    </xf>
    <xf numFmtId="0" fontId="7" fillId="12" borderId="5" xfId="0" applyFont="1" applyFill="1" applyBorder="1" applyAlignment="1">
      <alignment vertical="center" wrapText="1"/>
    </xf>
    <xf numFmtId="165" fontId="7" fillId="0" borderId="5" xfId="0" applyNumberFormat="1" applyFont="1" applyBorder="1" applyAlignment="1">
      <alignment vertical="center" wrapText="1"/>
    </xf>
    <xf numFmtId="0" fontId="15" fillId="14" borderId="5" xfId="0" applyFont="1" applyFill="1" applyBorder="1" applyAlignment="1">
      <alignment vertical="top" wrapText="1"/>
    </xf>
    <xf numFmtId="0" fontId="0" fillId="15" borderId="5" xfId="0" applyFill="1" applyBorder="1" applyAlignment="1">
      <alignment vertical="top" wrapText="1"/>
    </xf>
    <xf numFmtId="0" fontId="3" fillId="4" borderId="0" xfId="0" applyFont="1" applyFill="1" applyAlignment="1">
      <alignment vertical="center"/>
    </xf>
    <xf numFmtId="0" fontId="0" fillId="0" borderId="0" xfId="0"/>
    <xf numFmtId="0" fontId="11" fillId="8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35"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ont>
        <b/>
        <color rgb="FF990000"/>
      </font>
      <fill>
        <patternFill patternType="solid">
          <fgColor rgb="FFF4CCCC"/>
        </patternFill>
      </fill>
    </dxf>
    <dxf>
      <font>
        <b/>
        <color rgb="FF595959"/>
      </font>
      <fill>
        <patternFill patternType="solid">
          <fgColor rgb="FFE7E6E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workbookViewId="0">
      <selection sqref="A1:D1"/>
    </sheetView>
  </sheetViews>
  <sheetFormatPr defaultRowHeight="14.25" x14ac:dyDescent="0.45"/>
  <cols>
    <col min="1" max="1" width="27" customWidth="1"/>
    <col min="2" max="2" width="100" customWidth="1"/>
    <col min="3" max="4" width="18" customWidth="1"/>
  </cols>
  <sheetData>
    <row r="1" spans="1:4" ht="32" customHeight="1" x14ac:dyDescent="0.45">
      <c r="A1" s="44" t="s">
        <v>0</v>
      </c>
      <c r="B1" s="45"/>
      <c r="C1" s="45"/>
      <c r="D1" s="45"/>
    </row>
    <row r="3" spans="1:4" ht="42" customHeight="1" x14ac:dyDescent="0.45">
      <c r="A3" s="42" t="s">
        <v>1</v>
      </c>
      <c r="B3" s="43" t="s">
        <v>2</v>
      </c>
    </row>
    <row r="4" spans="1:4" ht="42" customHeight="1" x14ac:dyDescent="0.45">
      <c r="A4" s="42" t="s">
        <v>3</v>
      </c>
      <c r="B4" s="43" t="s">
        <v>4</v>
      </c>
    </row>
    <row r="5" spans="1:4" ht="42" customHeight="1" x14ac:dyDescent="0.45">
      <c r="A5" s="42" t="s">
        <v>5</v>
      </c>
      <c r="B5" s="43" t="s">
        <v>6</v>
      </c>
    </row>
    <row r="6" spans="1:4" ht="42" customHeight="1" x14ac:dyDescent="0.45">
      <c r="A6" s="42" t="s">
        <v>7</v>
      </c>
      <c r="B6" s="43" t="s">
        <v>8</v>
      </c>
    </row>
    <row r="7" spans="1:4" ht="42" customHeight="1" x14ac:dyDescent="0.45">
      <c r="A7" s="42" t="s">
        <v>9</v>
      </c>
      <c r="B7" s="43" t="s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36"/>
  <sheetViews>
    <sheetView showGridLines="0" tabSelected="1" zoomScale="75" workbookViewId="0">
      <pane xSplit="3" ySplit="4" topLeftCell="D11" activePane="bottomRight" state="frozen"/>
      <selection pane="topRight"/>
      <selection pane="bottomLeft"/>
      <selection pane="bottomRight" activeCell="G18" sqref="G18"/>
    </sheetView>
  </sheetViews>
  <sheetFormatPr defaultRowHeight="14.25" x14ac:dyDescent="0.45"/>
  <cols>
    <col min="1" max="1" width="15" customWidth="1"/>
    <col min="2" max="2" width="13" customWidth="1"/>
    <col min="3" max="3" width="27" customWidth="1"/>
    <col min="4" max="4" width="25" customWidth="1"/>
    <col min="5" max="5" width="26" customWidth="1"/>
    <col min="6" max="6" width="27" customWidth="1"/>
    <col min="7" max="7" width="28" customWidth="1"/>
    <col min="8" max="8" width="20" customWidth="1"/>
    <col min="9" max="9" width="27" customWidth="1"/>
    <col min="10" max="10" width="22" customWidth="1"/>
    <col min="11" max="11" width="26" customWidth="1"/>
    <col min="12" max="12" width="17" customWidth="1"/>
    <col min="13" max="14" width="27" customWidth="1"/>
    <col min="15" max="16" width="25" customWidth="1"/>
    <col min="17" max="17" width="27" customWidth="1"/>
    <col min="18" max="18" width="30" customWidth="1"/>
    <col min="19" max="19" width="3" customWidth="1"/>
    <col min="20" max="21" width="27" customWidth="1"/>
    <col min="22" max="23" width="25" customWidth="1"/>
    <col min="24" max="24" width="27" customWidth="1"/>
  </cols>
  <sheetData>
    <row r="1" spans="1:24" ht="30" customHeight="1" x14ac:dyDescent="0.45">
      <c r="A1" s="47" t="s">
        <v>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24" ht="42" customHeight="1" x14ac:dyDescent="0.45">
      <c r="A2" s="46" t="s">
        <v>12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T2" s="12"/>
      <c r="U2" s="13"/>
      <c r="V2" s="13"/>
      <c r="W2" s="13"/>
      <c r="X2" s="13"/>
    </row>
    <row r="3" spans="1:24" x14ac:dyDescent="0.45">
      <c r="T3" s="13"/>
      <c r="U3" s="13"/>
      <c r="V3" s="13"/>
      <c r="W3" s="13"/>
      <c r="X3" s="13"/>
    </row>
    <row r="4" spans="1:24" ht="34.049999999999997" customHeight="1" x14ac:dyDescent="0.45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11" t="s">
        <v>21</v>
      </c>
      <c r="J4" s="11" t="s">
        <v>22</v>
      </c>
      <c r="K4" s="11" t="s">
        <v>23</v>
      </c>
      <c r="L4" s="11" t="s">
        <v>24</v>
      </c>
      <c r="M4" s="14" t="s">
        <v>25</v>
      </c>
      <c r="N4" s="15" t="s">
        <v>26</v>
      </c>
      <c r="O4" s="16" t="s">
        <v>27</v>
      </c>
      <c r="P4" s="17" t="s">
        <v>28</v>
      </c>
      <c r="Q4" s="18" t="s">
        <v>29</v>
      </c>
      <c r="R4" s="11" t="s">
        <v>30</v>
      </c>
      <c r="T4" s="19"/>
      <c r="U4" s="19"/>
      <c r="V4" s="19"/>
      <c r="W4" s="19"/>
      <c r="X4" s="19"/>
    </row>
    <row r="5" spans="1:24" ht="26" customHeight="1" x14ac:dyDescent="0.45">
      <c r="A5" s="21">
        <v>46298</v>
      </c>
      <c r="B5" s="22" t="s">
        <v>31</v>
      </c>
      <c r="C5" s="23" t="s">
        <v>32</v>
      </c>
      <c r="D5" s="24"/>
      <c r="E5" s="24"/>
      <c r="F5" s="24"/>
      <c r="G5" s="24"/>
      <c r="H5" s="24"/>
      <c r="I5" s="24"/>
      <c r="J5" s="24"/>
      <c r="K5" s="24"/>
      <c r="L5" s="25" t="s">
        <v>33</v>
      </c>
      <c r="M5" s="26" t="s">
        <v>34</v>
      </c>
      <c r="N5" s="26" t="s">
        <v>35</v>
      </c>
      <c r="O5" s="26" t="s">
        <v>36</v>
      </c>
      <c r="P5" s="26" t="s">
        <v>37</v>
      </c>
      <c r="Q5" s="26" t="s">
        <v>38</v>
      </c>
      <c r="R5" s="27"/>
      <c r="T5" s="20"/>
      <c r="U5" s="20"/>
      <c r="V5" s="20"/>
      <c r="W5" s="20"/>
      <c r="X5" s="20"/>
    </row>
    <row r="6" spans="1:24" ht="26" customHeight="1" x14ac:dyDescent="0.45">
      <c r="A6" s="21">
        <v>46298</v>
      </c>
      <c r="B6" s="22" t="s">
        <v>31</v>
      </c>
      <c r="C6" s="28" t="s">
        <v>39</v>
      </c>
      <c r="D6" s="24"/>
      <c r="E6" s="24" t="s">
        <v>40</v>
      </c>
      <c r="F6" s="24"/>
      <c r="G6" s="24" t="s">
        <v>41</v>
      </c>
      <c r="H6" s="24"/>
      <c r="I6" s="24"/>
      <c r="J6" s="24"/>
      <c r="K6" s="24"/>
      <c r="L6" s="25" t="s">
        <v>42</v>
      </c>
      <c r="M6" s="26" t="s">
        <v>43</v>
      </c>
      <c r="N6" s="26" t="s">
        <v>44</v>
      </c>
      <c r="O6" s="26" t="s">
        <v>44</v>
      </c>
      <c r="P6" s="26" t="s">
        <v>44</v>
      </c>
      <c r="Q6" s="26" t="s">
        <v>45</v>
      </c>
      <c r="R6" s="27"/>
      <c r="T6" s="20"/>
      <c r="U6" s="20"/>
      <c r="V6" s="20"/>
      <c r="W6" s="20"/>
      <c r="X6" s="20"/>
    </row>
    <row r="7" spans="1:24" ht="26" customHeight="1" x14ac:dyDescent="0.45">
      <c r="A7" s="21">
        <v>46298</v>
      </c>
      <c r="B7" s="22" t="s">
        <v>31</v>
      </c>
      <c r="C7" s="30" t="s">
        <v>46</v>
      </c>
      <c r="D7" s="24" t="s">
        <v>47</v>
      </c>
      <c r="E7" s="24" t="s">
        <v>48</v>
      </c>
      <c r="F7" s="24"/>
      <c r="G7" s="24" t="s">
        <v>49</v>
      </c>
      <c r="H7" s="24"/>
      <c r="I7" s="24" t="s">
        <v>50</v>
      </c>
      <c r="J7" s="24"/>
      <c r="K7" s="24" t="s">
        <v>47</v>
      </c>
      <c r="L7" s="25" t="s">
        <v>51</v>
      </c>
      <c r="M7" s="26" t="s">
        <v>52</v>
      </c>
      <c r="N7" s="26" t="s">
        <v>53</v>
      </c>
      <c r="O7" s="26" t="s">
        <v>54</v>
      </c>
      <c r="P7" s="26" t="s">
        <v>55</v>
      </c>
      <c r="Q7" s="26" t="s">
        <v>56</v>
      </c>
      <c r="R7" s="27"/>
      <c r="T7" s="20"/>
      <c r="U7" s="20"/>
      <c r="V7" s="20"/>
      <c r="W7" s="20"/>
      <c r="X7" s="20"/>
    </row>
    <row r="8" spans="1:24" ht="26" customHeight="1" x14ac:dyDescent="0.45">
      <c r="A8" s="21">
        <v>46299</v>
      </c>
      <c r="B8" s="22" t="s">
        <v>57</v>
      </c>
      <c r="C8" s="23" t="s">
        <v>32</v>
      </c>
      <c r="D8" s="24"/>
      <c r="E8" s="24"/>
      <c r="F8" s="24"/>
      <c r="G8" s="24"/>
      <c r="H8" s="24"/>
      <c r="I8" s="24"/>
      <c r="J8" s="24"/>
      <c r="K8" s="24"/>
      <c r="L8" s="25" t="s">
        <v>33</v>
      </c>
      <c r="M8" s="26" t="s">
        <v>58</v>
      </c>
      <c r="N8" s="26" t="s">
        <v>59</v>
      </c>
      <c r="O8" s="26"/>
      <c r="P8" s="26" t="s">
        <v>60</v>
      </c>
      <c r="Q8" s="26"/>
      <c r="R8" s="27"/>
      <c r="T8" s="20"/>
      <c r="U8" s="20"/>
      <c r="V8" s="20"/>
      <c r="W8" s="20"/>
      <c r="X8" s="20"/>
    </row>
    <row r="9" spans="1:24" ht="26" customHeight="1" x14ac:dyDescent="0.45">
      <c r="A9" s="21">
        <v>46299</v>
      </c>
      <c r="B9" s="22" t="s">
        <v>57</v>
      </c>
      <c r="C9" s="30" t="s">
        <v>46</v>
      </c>
      <c r="D9" s="24" t="s">
        <v>61</v>
      </c>
      <c r="E9" s="24" t="s">
        <v>48</v>
      </c>
      <c r="F9" s="24"/>
      <c r="G9" s="24" t="s">
        <v>62</v>
      </c>
      <c r="H9" s="24"/>
      <c r="I9" s="24" t="s">
        <v>63</v>
      </c>
      <c r="J9" s="24"/>
      <c r="K9" s="24" t="s">
        <v>61</v>
      </c>
      <c r="L9" s="25" t="s">
        <v>51</v>
      </c>
      <c r="M9" s="26" t="s">
        <v>64</v>
      </c>
      <c r="N9" s="26" t="s">
        <v>60</v>
      </c>
      <c r="O9" s="26" t="s">
        <v>65</v>
      </c>
      <c r="P9" s="26" t="s">
        <v>64</v>
      </c>
      <c r="Q9" s="26" t="s">
        <v>66</v>
      </c>
      <c r="R9" s="27"/>
      <c r="T9" s="20"/>
      <c r="U9" s="20"/>
      <c r="V9" s="20"/>
      <c r="W9" s="20"/>
      <c r="X9" s="20"/>
    </row>
    <row r="10" spans="1:24" ht="26" customHeight="1" x14ac:dyDescent="0.45">
      <c r="A10" s="21">
        <v>46305</v>
      </c>
      <c r="B10" s="22" t="s">
        <v>31</v>
      </c>
      <c r="C10" s="23" t="s">
        <v>32</v>
      </c>
      <c r="D10" s="24" t="s">
        <v>67</v>
      </c>
      <c r="E10" s="24" t="s">
        <v>48</v>
      </c>
      <c r="F10" s="24"/>
      <c r="G10" s="24" t="s">
        <v>68</v>
      </c>
      <c r="H10" s="24"/>
      <c r="I10" s="24" t="s">
        <v>69</v>
      </c>
      <c r="J10" s="24"/>
      <c r="K10" s="24" t="s">
        <v>67</v>
      </c>
      <c r="L10" s="25" t="s">
        <v>51</v>
      </c>
      <c r="M10" s="26" t="s">
        <v>70</v>
      </c>
      <c r="N10" s="26" t="s">
        <v>71</v>
      </c>
      <c r="O10" s="26"/>
      <c r="P10" s="26" t="s">
        <v>72</v>
      </c>
      <c r="Q10" s="26"/>
      <c r="R10" s="27"/>
      <c r="T10" s="20"/>
      <c r="U10" s="20"/>
      <c r="V10" s="20"/>
      <c r="W10" s="20"/>
      <c r="X10" s="20"/>
    </row>
    <row r="11" spans="1:24" ht="26" customHeight="1" x14ac:dyDescent="0.45">
      <c r="A11" s="21">
        <v>46305</v>
      </c>
      <c r="B11" s="22" t="s">
        <v>31</v>
      </c>
      <c r="C11" s="28" t="s">
        <v>39</v>
      </c>
      <c r="D11" s="24"/>
      <c r="E11" s="24"/>
      <c r="F11" s="24"/>
      <c r="G11" s="24" t="s">
        <v>73</v>
      </c>
      <c r="H11" s="24"/>
      <c r="I11" s="24"/>
      <c r="J11" s="24"/>
      <c r="K11" s="24"/>
      <c r="L11" s="25" t="s">
        <v>42</v>
      </c>
      <c r="M11" s="26"/>
      <c r="N11" s="26"/>
      <c r="O11" s="26"/>
      <c r="P11" s="26"/>
      <c r="Q11" s="26"/>
      <c r="R11" s="27"/>
      <c r="T11" s="20"/>
      <c r="U11" s="20"/>
      <c r="V11" s="20"/>
      <c r="W11" s="20"/>
      <c r="X11" s="20"/>
    </row>
    <row r="12" spans="1:24" ht="26" customHeight="1" x14ac:dyDescent="0.45">
      <c r="A12" s="21">
        <v>46306</v>
      </c>
      <c r="B12" s="22" t="s">
        <v>57</v>
      </c>
      <c r="C12" s="23" t="s">
        <v>32</v>
      </c>
      <c r="D12" s="24" t="s">
        <v>61</v>
      </c>
      <c r="E12" s="24"/>
      <c r="F12" s="24"/>
      <c r="G12" s="24" t="s">
        <v>74</v>
      </c>
      <c r="H12" s="24"/>
      <c r="I12" s="24" t="s">
        <v>75</v>
      </c>
      <c r="J12" s="24"/>
      <c r="K12" s="24" t="s">
        <v>61</v>
      </c>
      <c r="L12" s="25" t="s">
        <v>51</v>
      </c>
      <c r="M12" s="26"/>
      <c r="N12" s="26"/>
      <c r="O12" s="26"/>
      <c r="P12" s="26"/>
      <c r="Q12" s="26"/>
      <c r="R12" s="27"/>
      <c r="T12" s="20"/>
      <c r="U12" s="20"/>
      <c r="V12" s="20"/>
      <c r="W12" s="20"/>
      <c r="X12" s="20"/>
    </row>
    <row r="13" spans="1:24" ht="26" customHeight="1" x14ac:dyDescent="0.45">
      <c r="A13" s="21">
        <v>46306</v>
      </c>
      <c r="B13" s="22" t="s">
        <v>57</v>
      </c>
      <c r="C13" s="28" t="s">
        <v>39</v>
      </c>
      <c r="D13" s="24"/>
      <c r="E13" s="24"/>
      <c r="F13" s="24"/>
      <c r="G13" s="24" t="s">
        <v>76</v>
      </c>
      <c r="H13" s="24"/>
      <c r="I13" s="24"/>
      <c r="J13" s="24"/>
      <c r="K13" s="24"/>
      <c r="L13" s="25" t="s">
        <v>42</v>
      </c>
      <c r="M13" s="26"/>
      <c r="N13" s="26"/>
      <c r="O13" s="26"/>
      <c r="P13" s="26"/>
      <c r="Q13" s="26"/>
      <c r="R13" s="27"/>
      <c r="T13" s="20"/>
      <c r="U13" s="20"/>
      <c r="V13" s="20"/>
      <c r="W13" s="20"/>
      <c r="X13" s="20"/>
    </row>
    <row r="14" spans="1:24" ht="26" customHeight="1" x14ac:dyDescent="0.45">
      <c r="A14" s="21">
        <v>46306</v>
      </c>
      <c r="B14" s="22" t="s">
        <v>57</v>
      </c>
      <c r="C14" s="30" t="s">
        <v>46</v>
      </c>
      <c r="D14" s="24"/>
      <c r="E14" s="24"/>
      <c r="F14" s="24"/>
      <c r="G14" s="24" t="s">
        <v>77</v>
      </c>
      <c r="H14" s="24"/>
      <c r="I14" s="24"/>
      <c r="J14" s="24"/>
      <c r="K14" s="24"/>
      <c r="L14" s="25" t="s">
        <v>42</v>
      </c>
      <c r="M14" s="26"/>
      <c r="N14" s="26"/>
      <c r="O14" s="26"/>
      <c r="P14" s="26"/>
      <c r="Q14" s="26"/>
      <c r="R14" s="27"/>
      <c r="T14" s="20"/>
      <c r="U14" s="20"/>
      <c r="V14" s="20"/>
      <c r="W14" s="20"/>
      <c r="X14" s="20"/>
    </row>
    <row r="15" spans="1:24" ht="26" customHeight="1" x14ac:dyDescent="0.45">
      <c r="A15" s="21">
        <v>46312</v>
      </c>
      <c r="B15" s="22" t="s">
        <v>31</v>
      </c>
      <c r="C15" s="23" t="s">
        <v>32</v>
      </c>
      <c r="D15" s="24"/>
      <c r="E15" s="24"/>
      <c r="F15" s="24"/>
      <c r="G15" s="24"/>
      <c r="H15" s="24"/>
      <c r="I15" s="24"/>
      <c r="J15" s="24"/>
      <c r="K15" s="24"/>
      <c r="L15" s="25" t="s">
        <v>33</v>
      </c>
      <c r="M15" s="26"/>
      <c r="N15" s="26"/>
      <c r="O15" s="26"/>
      <c r="P15" s="26"/>
      <c r="Q15" s="26"/>
      <c r="R15" s="27"/>
      <c r="T15" s="20"/>
      <c r="U15" s="20"/>
      <c r="V15" s="20"/>
      <c r="W15" s="20"/>
      <c r="X15" s="20"/>
    </row>
    <row r="16" spans="1:24" ht="26" customHeight="1" x14ac:dyDescent="0.45">
      <c r="A16" s="21">
        <v>46312</v>
      </c>
      <c r="B16" s="22" t="s">
        <v>31</v>
      </c>
      <c r="C16" s="30" t="s">
        <v>46</v>
      </c>
      <c r="D16" s="24" t="s">
        <v>67</v>
      </c>
      <c r="E16" s="24"/>
      <c r="F16" s="24"/>
      <c r="G16" s="24" t="s">
        <v>78</v>
      </c>
      <c r="H16" s="24"/>
      <c r="I16" s="24" t="s">
        <v>79</v>
      </c>
      <c r="J16" s="24"/>
      <c r="K16" s="24" t="s">
        <v>67</v>
      </c>
      <c r="L16" s="25" t="s">
        <v>51</v>
      </c>
      <c r="M16" s="26"/>
      <c r="N16" s="26"/>
      <c r="O16" s="26"/>
      <c r="P16" s="26"/>
      <c r="Q16" s="26"/>
      <c r="R16" s="27"/>
      <c r="T16" s="20"/>
      <c r="U16" s="20"/>
      <c r="V16" s="20"/>
      <c r="W16" s="20"/>
      <c r="X16" s="20"/>
    </row>
    <row r="17" spans="1:24" ht="26" customHeight="1" x14ac:dyDescent="0.45">
      <c r="A17" s="21">
        <v>46313</v>
      </c>
      <c r="B17" s="22" t="s">
        <v>57</v>
      </c>
      <c r="C17" s="23" t="s">
        <v>32</v>
      </c>
      <c r="D17" s="24"/>
      <c r="E17" s="24"/>
      <c r="F17" s="24"/>
      <c r="G17" s="24"/>
      <c r="H17" s="24"/>
      <c r="I17" s="24"/>
      <c r="J17" s="24"/>
      <c r="K17" s="24"/>
      <c r="L17" s="25" t="s">
        <v>33</v>
      </c>
      <c r="M17" s="26"/>
      <c r="N17" s="26"/>
      <c r="O17" s="26"/>
      <c r="P17" s="26"/>
      <c r="Q17" s="26"/>
      <c r="R17" s="27"/>
      <c r="T17" s="20"/>
      <c r="U17" s="20"/>
      <c r="V17" s="20"/>
      <c r="W17" s="20"/>
      <c r="X17" s="20"/>
    </row>
    <row r="18" spans="1:24" ht="26" customHeight="1" x14ac:dyDescent="0.45">
      <c r="A18" s="21">
        <v>46313</v>
      </c>
      <c r="B18" s="22" t="s">
        <v>57</v>
      </c>
      <c r="C18" s="30" t="s">
        <v>46</v>
      </c>
      <c r="D18" s="24" t="s">
        <v>47</v>
      </c>
      <c r="E18" s="24"/>
      <c r="F18" s="24"/>
      <c r="G18" s="24" t="s">
        <v>80</v>
      </c>
      <c r="H18" s="24"/>
      <c r="I18" s="24" t="s">
        <v>81</v>
      </c>
      <c r="J18" s="24"/>
      <c r="K18" s="24" t="s">
        <v>47</v>
      </c>
      <c r="L18" s="25" t="s">
        <v>51</v>
      </c>
      <c r="M18" s="26"/>
      <c r="N18" s="26"/>
      <c r="O18" s="26"/>
      <c r="P18" s="26"/>
      <c r="Q18" s="26"/>
      <c r="R18" s="27"/>
      <c r="T18" s="20"/>
      <c r="U18" s="20"/>
      <c r="V18" s="20"/>
      <c r="W18" s="20"/>
      <c r="X18" s="20"/>
    </row>
    <row r="19" spans="1:24" ht="26" customHeight="1" x14ac:dyDescent="0.45">
      <c r="A19" s="21">
        <v>46319</v>
      </c>
      <c r="B19" s="22" t="s">
        <v>31</v>
      </c>
      <c r="C19" s="23" t="s">
        <v>32</v>
      </c>
      <c r="D19" s="24"/>
      <c r="E19" s="24"/>
      <c r="F19" s="24"/>
      <c r="G19" s="24"/>
      <c r="H19" s="24"/>
      <c r="I19" s="24"/>
      <c r="J19" s="24"/>
      <c r="K19" s="24"/>
      <c r="L19" s="25" t="s">
        <v>33</v>
      </c>
      <c r="M19" s="26"/>
      <c r="N19" s="26"/>
      <c r="O19" s="26"/>
      <c r="P19" s="26"/>
      <c r="Q19" s="26"/>
      <c r="R19" s="27"/>
      <c r="T19" s="20"/>
      <c r="U19" s="20"/>
      <c r="V19" s="20"/>
      <c r="W19" s="20"/>
      <c r="X19" s="20"/>
    </row>
    <row r="20" spans="1:24" ht="26" customHeight="1" x14ac:dyDescent="0.45">
      <c r="A20" s="21">
        <v>46319</v>
      </c>
      <c r="B20" s="22" t="s">
        <v>31</v>
      </c>
      <c r="C20" s="30" t="s">
        <v>46</v>
      </c>
      <c r="D20" s="24" t="s">
        <v>47</v>
      </c>
      <c r="E20" s="24"/>
      <c r="F20" s="24"/>
      <c r="G20" s="24" t="s">
        <v>82</v>
      </c>
      <c r="H20" s="24"/>
      <c r="I20" s="24" t="s">
        <v>83</v>
      </c>
      <c r="J20" s="24"/>
      <c r="K20" s="24" t="s">
        <v>47</v>
      </c>
      <c r="L20" s="25" t="s">
        <v>51</v>
      </c>
      <c r="M20" s="26"/>
      <c r="N20" s="26"/>
      <c r="O20" s="26"/>
      <c r="P20" s="26"/>
      <c r="Q20" s="26"/>
      <c r="R20" s="27"/>
      <c r="T20" s="13"/>
      <c r="U20" s="13"/>
      <c r="V20" s="13"/>
      <c r="W20" s="13"/>
      <c r="X20" s="13"/>
    </row>
    <row r="21" spans="1:24" ht="26" customHeight="1" x14ac:dyDescent="0.45">
      <c r="A21" s="21">
        <v>46320</v>
      </c>
      <c r="B21" s="22" t="s">
        <v>57</v>
      </c>
      <c r="C21" s="23" t="s">
        <v>32</v>
      </c>
      <c r="D21" s="24"/>
      <c r="E21" s="24"/>
      <c r="F21" s="24"/>
      <c r="G21" s="24"/>
      <c r="H21" s="24"/>
      <c r="I21" s="24"/>
      <c r="J21" s="24"/>
      <c r="K21" s="24"/>
      <c r="L21" s="25" t="s">
        <v>33</v>
      </c>
      <c r="M21" s="26"/>
      <c r="N21" s="26"/>
      <c r="O21" s="26"/>
      <c r="P21" s="26"/>
      <c r="Q21" s="26"/>
      <c r="R21" s="27"/>
    </row>
    <row r="22" spans="1:24" ht="26" customHeight="1" x14ac:dyDescent="0.45">
      <c r="A22" s="21">
        <v>46320</v>
      </c>
      <c r="B22" s="22" t="s">
        <v>57</v>
      </c>
      <c r="C22" s="30" t="s">
        <v>46</v>
      </c>
      <c r="D22" s="24" t="s">
        <v>67</v>
      </c>
      <c r="E22" s="24"/>
      <c r="F22" s="24"/>
      <c r="G22" s="24" t="s">
        <v>84</v>
      </c>
      <c r="H22" s="24"/>
      <c r="I22" s="24" t="s">
        <v>85</v>
      </c>
      <c r="J22" s="24"/>
      <c r="K22" s="24" t="s">
        <v>67</v>
      </c>
      <c r="L22" s="25" t="s">
        <v>51</v>
      </c>
      <c r="M22" s="26"/>
      <c r="N22" s="26"/>
      <c r="O22" s="26"/>
      <c r="P22" s="26"/>
      <c r="Q22" s="26"/>
      <c r="R22" s="27"/>
    </row>
    <row r="23" spans="1:24" ht="26" customHeight="1" x14ac:dyDescent="0.45">
      <c r="A23" s="21">
        <v>46326</v>
      </c>
      <c r="B23" s="22" t="s">
        <v>31</v>
      </c>
      <c r="C23" s="23" t="s">
        <v>32</v>
      </c>
      <c r="D23" s="24"/>
      <c r="E23" s="24"/>
      <c r="F23" s="24"/>
      <c r="G23" s="24"/>
      <c r="H23" s="24"/>
      <c r="I23" s="24"/>
      <c r="J23" s="24"/>
      <c r="K23" s="24"/>
      <c r="L23" s="25" t="s">
        <v>33</v>
      </c>
      <c r="M23" s="26"/>
      <c r="N23" s="26"/>
      <c r="O23" s="26"/>
      <c r="P23" s="26"/>
      <c r="Q23" s="26"/>
      <c r="R23" s="27"/>
    </row>
    <row r="24" spans="1:24" ht="26" customHeight="1" x14ac:dyDescent="0.45">
      <c r="A24" s="21">
        <v>46326</v>
      </c>
      <c r="B24" s="22" t="s">
        <v>31</v>
      </c>
      <c r="C24" s="30" t="s">
        <v>46</v>
      </c>
      <c r="D24" s="24" t="s">
        <v>67</v>
      </c>
      <c r="E24" s="24"/>
      <c r="F24" s="24"/>
      <c r="G24" s="24" t="s">
        <v>86</v>
      </c>
      <c r="H24" s="24"/>
      <c r="I24" s="24" t="s">
        <v>87</v>
      </c>
      <c r="J24" s="24"/>
      <c r="K24" s="24" t="s">
        <v>67</v>
      </c>
      <c r="L24" s="25" t="s">
        <v>51</v>
      </c>
      <c r="M24" s="26"/>
      <c r="N24" s="26"/>
      <c r="O24" s="26"/>
      <c r="P24" s="26"/>
      <c r="Q24" s="26"/>
      <c r="R24" s="27"/>
    </row>
    <row r="25" spans="1:24" ht="26" customHeight="1" x14ac:dyDescent="0.45">
      <c r="A25" s="21">
        <v>46327</v>
      </c>
      <c r="B25" s="22" t="s">
        <v>57</v>
      </c>
      <c r="C25" s="23" t="s">
        <v>32</v>
      </c>
      <c r="D25" s="24"/>
      <c r="E25" s="24"/>
      <c r="F25" s="24"/>
      <c r="G25" s="24"/>
      <c r="H25" s="24"/>
      <c r="I25" s="24"/>
      <c r="J25" s="24"/>
      <c r="K25" s="24"/>
      <c r="L25" s="25" t="s">
        <v>33</v>
      </c>
      <c r="M25" s="26"/>
      <c r="N25" s="26"/>
      <c r="O25" s="26"/>
      <c r="P25" s="26"/>
      <c r="Q25" s="26"/>
      <c r="R25" s="27"/>
    </row>
    <row r="26" spans="1:24" ht="26" customHeight="1" x14ac:dyDescent="0.45">
      <c r="A26" s="21">
        <v>46327</v>
      </c>
      <c r="B26" s="22" t="s">
        <v>57</v>
      </c>
      <c r="C26" s="30" t="s">
        <v>46</v>
      </c>
      <c r="D26" s="24" t="s">
        <v>33</v>
      </c>
      <c r="E26" s="24"/>
      <c r="F26" s="24"/>
      <c r="G26" s="24" t="s">
        <v>88</v>
      </c>
      <c r="H26" s="24"/>
      <c r="I26" s="24" t="s">
        <v>89</v>
      </c>
      <c r="J26" s="24"/>
      <c r="K26" s="24" t="s">
        <v>33</v>
      </c>
      <c r="L26" s="25" t="s">
        <v>33</v>
      </c>
      <c r="M26" s="26"/>
      <c r="N26" s="26"/>
      <c r="O26" s="26"/>
      <c r="P26" s="26"/>
      <c r="Q26" s="26"/>
      <c r="R26" s="27"/>
    </row>
    <row r="27" spans="1:24" ht="26" customHeight="1" x14ac:dyDescent="0.45">
      <c r="A27" s="21">
        <v>46333</v>
      </c>
      <c r="B27" s="22" t="s">
        <v>31</v>
      </c>
      <c r="C27" s="23" t="s">
        <v>32</v>
      </c>
      <c r="D27" s="24"/>
      <c r="E27" s="24"/>
      <c r="F27" s="24"/>
      <c r="G27" s="24"/>
      <c r="H27" s="24"/>
      <c r="I27" s="24"/>
      <c r="J27" s="24"/>
      <c r="K27" s="24"/>
      <c r="L27" s="25" t="s">
        <v>33</v>
      </c>
      <c r="M27" s="26"/>
      <c r="N27" s="26"/>
      <c r="O27" s="26"/>
      <c r="P27" s="26"/>
      <c r="Q27" s="26"/>
      <c r="R27" s="27"/>
    </row>
    <row r="28" spans="1:24" ht="26" customHeight="1" x14ac:dyDescent="0.45">
      <c r="A28" s="21">
        <v>46333</v>
      </c>
      <c r="B28" s="22" t="s">
        <v>31</v>
      </c>
      <c r="C28" s="30" t="s">
        <v>46</v>
      </c>
      <c r="D28" s="24" t="s">
        <v>33</v>
      </c>
      <c r="E28" s="24"/>
      <c r="F28" s="24"/>
      <c r="G28" s="24" t="s">
        <v>90</v>
      </c>
      <c r="H28" s="24"/>
      <c r="I28" s="24" t="s">
        <v>91</v>
      </c>
      <c r="J28" s="24"/>
      <c r="K28" s="24" t="s">
        <v>33</v>
      </c>
      <c r="L28" s="25" t="s">
        <v>33</v>
      </c>
      <c r="M28" s="26"/>
      <c r="N28" s="26"/>
      <c r="O28" s="26"/>
      <c r="P28" s="26"/>
      <c r="Q28" s="26"/>
      <c r="R28" s="27"/>
    </row>
    <row r="29" spans="1:24" ht="26" customHeight="1" x14ac:dyDescent="0.45">
      <c r="A29" s="21">
        <v>46334</v>
      </c>
      <c r="B29" s="22" t="s">
        <v>57</v>
      </c>
      <c r="C29" s="23" t="s">
        <v>32</v>
      </c>
      <c r="D29" s="24"/>
      <c r="E29" s="24"/>
      <c r="F29" s="24"/>
      <c r="G29" s="24"/>
      <c r="H29" s="24"/>
      <c r="I29" s="24"/>
      <c r="J29" s="24"/>
      <c r="K29" s="24"/>
      <c r="L29" s="25" t="s">
        <v>33</v>
      </c>
      <c r="M29" s="26"/>
      <c r="N29" s="26"/>
      <c r="O29" s="26"/>
      <c r="P29" s="26"/>
      <c r="Q29" s="26"/>
      <c r="R29" s="27"/>
    </row>
    <row r="30" spans="1:24" ht="26" customHeight="1" x14ac:dyDescent="0.45">
      <c r="A30" s="21">
        <v>46334</v>
      </c>
      <c r="B30" s="22" t="s">
        <v>57</v>
      </c>
      <c r="C30" s="30" t="s">
        <v>46</v>
      </c>
      <c r="D30" s="24" t="s">
        <v>33</v>
      </c>
      <c r="E30" s="24"/>
      <c r="F30" s="24"/>
      <c r="G30" s="24"/>
      <c r="H30" s="24"/>
      <c r="I30" s="24" t="s">
        <v>92</v>
      </c>
      <c r="J30" s="24"/>
      <c r="K30" s="24" t="s">
        <v>33</v>
      </c>
      <c r="L30" s="25" t="s">
        <v>33</v>
      </c>
      <c r="M30" s="26"/>
      <c r="N30" s="26"/>
      <c r="O30" s="26"/>
      <c r="P30" s="26"/>
      <c r="Q30" s="26"/>
      <c r="R30" s="27"/>
    </row>
    <row r="31" spans="1:24" ht="26" customHeight="1" x14ac:dyDescent="0.45">
      <c r="A31" s="21">
        <v>46340</v>
      </c>
      <c r="B31" s="22" t="s">
        <v>31</v>
      </c>
      <c r="C31" s="23" t="s">
        <v>32</v>
      </c>
      <c r="D31" s="24"/>
      <c r="E31" s="24"/>
      <c r="F31" s="24"/>
      <c r="G31" s="24"/>
      <c r="H31" s="24"/>
      <c r="I31" s="24"/>
      <c r="J31" s="24"/>
      <c r="K31" s="24"/>
      <c r="L31" s="25" t="s">
        <v>33</v>
      </c>
      <c r="M31" s="26"/>
      <c r="N31" s="26"/>
      <c r="O31" s="26"/>
      <c r="P31" s="26"/>
      <c r="Q31" s="26"/>
      <c r="R31" s="27"/>
    </row>
    <row r="32" spans="1:24" ht="26" customHeight="1" x14ac:dyDescent="0.45">
      <c r="A32" s="21">
        <v>46340</v>
      </c>
      <c r="B32" s="22" t="s">
        <v>31</v>
      </c>
      <c r="C32" s="30" t="s">
        <v>46</v>
      </c>
      <c r="D32" s="24" t="s">
        <v>33</v>
      </c>
      <c r="E32" s="24"/>
      <c r="F32" s="24"/>
      <c r="G32" s="24" t="s">
        <v>93</v>
      </c>
      <c r="H32" s="24"/>
      <c r="I32" s="24" t="s">
        <v>94</v>
      </c>
      <c r="J32" s="24"/>
      <c r="K32" s="24" t="s">
        <v>33</v>
      </c>
      <c r="L32" s="25" t="s">
        <v>33</v>
      </c>
      <c r="M32" s="26"/>
      <c r="N32" s="26"/>
      <c r="O32" s="26"/>
      <c r="P32" s="26"/>
      <c r="Q32" s="26"/>
      <c r="R32" s="27"/>
    </row>
    <row r="33" spans="1:18" ht="26" customHeight="1" x14ac:dyDescent="0.45">
      <c r="A33" s="21">
        <v>46341</v>
      </c>
      <c r="B33" s="22" t="s">
        <v>57</v>
      </c>
      <c r="C33" s="23" t="s">
        <v>32</v>
      </c>
      <c r="D33" s="24"/>
      <c r="E33" s="24"/>
      <c r="F33" s="24"/>
      <c r="G33" s="24"/>
      <c r="H33" s="24"/>
      <c r="I33" s="24"/>
      <c r="J33" s="24"/>
      <c r="K33" s="24"/>
      <c r="L33" s="25" t="s">
        <v>33</v>
      </c>
      <c r="M33" s="26"/>
      <c r="N33" s="26"/>
      <c r="O33" s="26"/>
      <c r="P33" s="26"/>
      <c r="Q33" s="26"/>
      <c r="R33" s="27"/>
    </row>
    <row r="34" spans="1:18" ht="26" customHeight="1" x14ac:dyDescent="0.45">
      <c r="A34" s="21">
        <v>46341</v>
      </c>
      <c r="B34" s="22" t="s">
        <v>57</v>
      </c>
      <c r="C34" s="30" t="s">
        <v>46</v>
      </c>
      <c r="D34" s="24" t="s">
        <v>33</v>
      </c>
      <c r="E34" s="24"/>
      <c r="F34" s="24"/>
      <c r="G34" s="24"/>
      <c r="H34" s="24"/>
      <c r="I34" s="24" t="s">
        <v>95</v>
      </c>
      <c r="J34" s="24"/>
      <c r="K34" s="24" t="s">
        <v>33</v>
      </c>
      <c r="L34" s="25" t="s">
        <v>33</v>
      </c>
      <c r="M34" s="26"/>
      <c r="N34" s="26"/>
      <c r="O34" s="26"/>
      <c r="P34" s="26"/>
      <c r="Q34" s="26"/>
      <c r="R34" s="27"/>
    </row>
    <row r="35" spans="1:18" ht="26" customHeight="1" x14ac:dyDescent="0.45">
      <c r="A35" s="21">
        <v>46347</v>
      </c>
      <c r="B35" s="22" t="s">
        <v>31</v>
      </c>
      <c r="C35" s="23" t="s">
        <v>32</v>
      </c>
      <c r="D35" s="24"/>
      <c r="E35" s="24"/>
      <c r="F35" s="24"/>
      <c r="G35" s="24"/>
      <c r="H35" s="24"/>
      <c r="I35" s="24"/>
      <c r="J35" s="24"/>
      <c r="K35" s="24"/>
      <c r="L35" s="25" t="s">
        <v>33</v>
      </c>
      <c r="M35" s="26"/>
      <c r="N35" s="26"/>
      <c r="O35" s="26"/>
      <c r="P35" s="26"/>
      <c r="Q35" s="26"/>
      <c r="R35" s="27"/>
    </row>
    <row r="36" spans="1:18" ht="26" customHeight="1" x14ac:dyDescent="0.45">
      <c r="A36" s="21">
        <v>46347</v>
      </c>
      <c r="B36" s="22" t="s">
        <v>31</v>
      </c>
      <c r="C36" s="30" t="s">
        <v>46</v>
      </c>
      <c r="D36" s="24" t="s">
        <v>33</v>
      </c>
      <c r="E36" s="24"/>
      <c r="F36" s="24"/>
      <c r="G36" s="24" t="s">
        <v>96</v>
      </c>
      <c r="H36" s="24"/>
      <c r="I36" s="24" t="s">
        <v>97</v>
      </c>
      <c r="J36" s="24"/>
      <c r="K36" s="24" t="s">
        <v>33</v>
      </c>
      <c r="L36" s="25" t="s">
        <v>33</v>
      </c>
      <c r="M36" s="26"/>
      <c r="N36" s="26"/>
      <c r="O36" s="26"/>
      <c r="P36" s="26"/>
      <c r="Q36" s="26"/>
      <c r="R36" s="27"/>
    </row>
    <row r="37" spans="1:18" ht="26" customHeight="1" x14ac:dyDescent="0.45">
      <c r="A37" s="21">
        <v>46348</v>
      </c>
      <c r="B37" s="22" t="s">
        <v>57</v>
      </c>
      <c r="C37" s="23" t="s">
        <v>32</v>
      </c>
      <c r="D37" s="24"/>
      <c r="E37" s="24"/>
      <c r="F37" s="24"/>
      <c r="G37" s="24"/>
      <c r="H37" s="24"/>
      <c r="I37" s="24"/>
      <c r="J37" s="24"/>
      <c r="K37" s="24"/>
      <c r="L37" s="25" t="s">
        <v>33</v>
      </c>
      <c r="M37" s="26"/>
      <c r="N37" s="26"/>
      <c r="O37" s="26"/>
      <c r="P37" s="26"/>
      <c r="Q37" s="26"/>
      <c r="R37" s="27"/>
    </row>
    <row r="38" spans="1:18" ht="26" customHeight="1" x14ac:dyDescent="0.45">
      <c r="A38" s="21">
        <v>46348</v>
      </c>
      <c r="B38" s="22" t="s">
        <v>57</v>
      </c>
      <c r="C38" s="30" t="s">
        <v>46</v>
      </c>
      <c r="D38" s="24" t="s">
        <v>33</v>
      </c>
      <c r="E38" s="24"/>
      <c r="F38" s="24"/>
      <c r="G38" s="24"/>
      <c r="H38" s="24"/>
      <c r="I38" s="24" t="s">
        <v>98</v>
      </c>
      <c r="J38" s="24"/>
      <c r="K38" s="24" t="s">
        <v>33</v>
      </c>
      <c r="L38" s="25" t="s">
        <v>33</v>
      </c>
      <c r="M38" s="26"/>
      <c r="N38" s="26"/>
      <c r="O38" s="26"/>
      <c r="P38" s="26"/>
      <c r="Q38" s="26"/>
      <c r="R38" s="27"/>
    </row>
    <row r="39" spans="1:18" ht="26" customHeight="1" x14ac:dyDescent="0.45">
      <c r="A39" s="21">
        <v>46354</v>
      </c>
      <c r="B39" s="22" t="s">
        <v>31</v>
      </c>
      <c r="C39" s="23" t="s">
        <v>32</v>
      </c>
      <c r="D39" s="24"/>
      <c r="E39" s="24"/>
      <c r="F39" s="24"/>
      <c r="G39" s="24"/>
      <c r="H39" s="24"/>
      <c r="I39" s="24"/>
      <c r="J39" s="24"/>
      <c r="K39" s="24"/>
      <c r="L39" s="25" t="s">
        <v>33</v>
      </c>
      <c r="M39" s="26"/>
      <c r="N39" s="26"/>
      <c r="O39" s="26"/>
      <c r="P39" s="26"/>
      <c r="Q39" s="26"/>
      <c r="R39" s="27"/>
    </row>
    <row r="40" spans="1:18" ht="26" customHeight="1" x14ac:dyDescent="0.45">
      <c r="A40" s="21">
        <v>46354</v>
      </c>
      <c r="B40" s="22" t="s">
        <v>31</v>
      </c>
      <c r="C40" s="30" t="s">
        <v>46</v>
      </c>
      <c r="D40" s="24" t="s">
        <v>33</v>
      </c>
      <c r="E40" s="24"/>
      <c r="F40" s="24"/>
      <c r="G40" s="24"/>
      <c r="H40" s="24"/>
      <c r="I40" s="24" t="s">
        <v>99</v>
      </c>
      <c r="J40" s="24"/>
      <c r="K40" s="24" t="s">
        <v>33</v>
      </c>
      <c r="L40" s="25" t="s">
        <v>33</v>
      </c>
      <c r="M40" s="26"/>
      <c r="N40" s="26"/>
      <c r="O40" s="26"/>
      <c r="P40" s="26"/>
      <c r="Q40" s="26"/>
      <c r="R40" s="27"/>
    </row>
    <row r="41" spans="1:18" ht="26" customHeight="1" x14ac:dyDescent="0.45">
      <c r="A41" s="21">
        <v>46355</v>
      </c>
      <c r="B41" s="22" t="s">
        <v>57</v>
      </c>
      <c r="C41" s="23" t="s">
        <v>32</v>
      </c>
      <c r="D41" s="24"/>
      <c r="E41" s="24"/>
      <c r="F41" s="24"/>
      <c r="G41" s="24"/>
      <c r="H41" s="24"/>
      <c r="I41" s="24"/>
      <c r="J41" s="24"/>
      <c r="K41" s="24"/>
      <c r="L41" s="25" t="s">
        <v>33</v>
      </c>
      <c r="M41" s="26"/>
      <c r="N41" s="26"/>
      <c r="O41" s="26"/>
      <c r="P41" s="26"/>
      <c r="Q41" s="26"/>
      <c r="R41" s="27"/>
    </row>
    <row r="42" spans="1:18" ht="26" customHeight="1" x14ac:dyDescent="0.45">
      <c r="A42" s="21">
        <v>46355</v>
      </c>
      <c r="B42" s="22" t="s">
        <v>57</v>
      </c>
      <c r="C42" s="30" t="s">
        <v>46</v>
      </c>
      <c r="D42" s="24" t="s">
        <v>33</v>
      </c>
      <c r="E42" s="24"/>
      <c r="F42" s="24"/>
      <c r="G42" s="24"/>
      <c r="H42" s="24"/>
      <c r="I42" s="24" t="s">
        <v>100</v>
      </c>
      <c r="J42" s="24"/>
      <c r="K42" s="24" t="s">
        <v>33</v>
      </c>
      <c r="L42" s="25" t="s">
        <v>33</v>
      </c>
      <c r="M42" s="26"/>
      <c r="N42" s="26"/>
      <c r="O42" s="26"/>
      <c r="P42" s="26"/>
      <c r="Q42" s="26"/>
      <c r="R42" s="27"/>
    </row>
    <row r="43" spans="1:18" ht="26" customHeight="1" x14ac:dyDescent="0.45">
      <c r="A43" s="21">
        <v>46361</v>
      </c>
      <c r="B43" s="22" t="s">
        <v>31</v>
      </c>
      <c r="C43" s="23" t="s">
        <v>32</v>
      </c>
      <c r="D43" s="24"/>
      <c r="E43" s="24"/>
      <c r="F43" s="24"/>
      <c r="G43" s="24"/>
      <c r="H43" s="24"/>
      <c r="I43" s="24"/>
      <c r="J43" s="24"/>
      <c r="K43" s="24"/>
      <c r="L43" s="25" t="s">
        <v>33</v>
      </c>
      <c r="M43" s="26"/>
      <c r="N43" s="26"/>
      <c r="O43" s="26"/>
      <c r="P43" s="26"/>
      <c r="Q43" s="26"/>
      <c r="R43" s="27"/>
    </row>
    <row r="44" spans="1:18" ht="26" customHeight="1" x14ac:dyDescent="0.45">
      <c r="A44" s="21">
        <v>46362</v>
      </c>
      <c r="B44" s="22" t="s">
        <v>57</v>
      </c>
      <c r="C44" s="23" t="s">
        <v>32</v>
      </c>
      <c r="D44" s="24"/>
      <c r="E44" s="24"/>
      <c r="F44" s="24"/>
      <c r="G44" s="24"/>
      <c r="H44" s="24"/>
      <c r="I44" s="24"/>
      <c r="J44" s="24"/>
      <c r="K44" s="24"/>
      <c r="L44" s="25" t="s">
        <v>33</v>
      </c>
      <c r="M44" s="26"/>
      <c r="N44" s="26"/>
      <c r="O44" s="26"/>
      <c r="P44" s="26"/>
      <c r="Q44" s="26"/>
      <c r="R44" s="27"/>
    </row>
    <row r="45" spans="1:18" ht="26" customHeight="1" x14ac:dyDescent="0.45">
      <c r="A45" s="21">
        <v>46368</v>
      </c>
      <c r="B45" s="22" t="s">
        <v>31</v>
      </c>
      <c r="C45" s="23" t="s">
        <v>32</v>
      </c>
      <c r="D45" s="24"/>
      <c r="E45" s="24"/>
      <c r="F45" s="24"/>
      <c r="G45" s="24"/>
      <c r="H45" s="24"/>
      <c r="I45" s="24"/>
      <c r="J45" s="24"/>
      <c r="K45" s="24"/>
      <c r="L45" s="25" t="s">
        <v>33</v>
      </c>
      <c r="M45" s="26"/>
      <c r="N45" s="26"/>
      <c r="O45" s="26"/>
      <c r="P45" s="26"/>
      <c r="Q45" s="26"/>
      <c r="R45" s="27"/>
    </row>
    <row r="46" spans="1:18" ht="26" customHeight="1" x14ac:dyDescent="0.45">
      <c r="A46" s="21">
        <v>46369</v>
      </c>
      <c r="B46" s="22" t="s">
        <v>57</v>
      </c>
      <c r="C46" s="23" t="s">
        <v>32</v>
      </c>
      <c r="D46" s="24"/>
      <c r="E46" s="24"/>
      <c r="F46" s="24"/>
      <c r="G46" s="24"/>
      <c r="H46" s="24"/>
      <c r="I46" s="24"/>
      <c r="J46" s="24"/>
      <c r="K46" s="24"/>
      <c r="L46" s="25" t="s">
        <v>33</v>
      </c>
      <c r="M46" s="26"/>
      <c r="N46" s="26"/>
      <c r="O46" s="26"/>
      <c r="P46" s="26"/>
      <c r="Q46" s="26"/>
      <c r="R46" s="27"/>
    </row>
    <row r="47" spans="1:18" ht="26" customHeight="1" x14ac:dyDescent="0.45">
      <c r="A47" s="21">
        <v>46375</v>
      </c>
      <c r="B47" s="22" t="s">
        <v>31</v>
      </c>
      <c r="C47" s="23" t="s">
        <v>32</v>
      </c>
      <c r="D47" s="24"/>
      <c r="E47" s="24"/>
      <c r="F47" s="24"/>
      <c r="G47" s="24"/>
      <c r="H47" s="24"/>
      <c r="I47" s="24"/>
      <c r="J47" s="24"/>
      <c r="K47" s="24"/>
      <c r="L47" s="25" t="s">
        <v>33</v>
      </c>
      <c r="M47" s="26"/>
      <c r="N47" s="26"/>
      <c r="O47" s="26"/>
      <c r="P47" s="26"/>
      <c r="Q47" s="26"/>
      <c r="R47" s="27"/>
    </row>
    <row r="48" spans="1:18" ht="26" customHeight="1" x14ac:dyDescent="0.45">
      <c r="A48" s="21">
        <v>46376</v>
      </c>
      <c r="B48" s="22" t="s">
        <v>57</v>
      </c>
      <c r="C48" s="23" t="s">
        <v>32</v>
      </c>
      <c r="D48" s="24"/>
      <c r="E48" s="24"/>
      <c r="F48" s="24"/>
      <c r="G48" s="24"/>
      <c r="H48" s="24"/>
      <c r="I48" s="24"/>
      <c r="J48" s="24"/>
      <c r="K48" s="24"/>
      <c r="L48" s="25" t="s">
        <v>33</v>
      </c>
      <c r="M48" s="26"/>
      <c r="N48" s="26"/>
      <c r="O48" s="26"/>
      <c r="P48" s="26"/>
      <c r="Q48" s="26"/>
      <c r="R48" s="27"/>
    </row>
    <row r="49" spans="1:18" ht="26" customHeight="1" x14ac:dyDescent="0.45">
      <c r="A49" s="21">
        <v>46382</v>
      </c>
      <c r="B49" s="22" t="s">
        <v>31</v>
      </c>
      <c r="C49" s="23" t="s">
        <v>32</v>
      </c>
      <c r="D49" s="24"/>
      <c r="E49" s="24"/>
      <c r="F49" s="24"/>
      <c r="G49" s="24"/>
      <c r="H49" s="24"/>
      <c r="I49" s="24"/>
      <c r="J49" s="24"/>
      <c r="K49" s="24"/>
      <c r="L49" s="25" t="s">
        <v>33</v>
      </c>
      <c r="M49" s="26"/>
      <c r="N49" s="26"/>
      <c r="O49" s="26"/>
      <c r="P49" s="26"/>
      <c r="Q49" s="26"/>
      <c r="R49" s="27"/>
    </row>
    <row r="50" spans="1:18" ht="26" customHeight="1" x14ac:dyDescent="0.45">
      <c r="A50" s="21">
        <v>46383</v>
      </c>
      <c r="B50" s="22" t="s">
        <v>57</v>
      </c>
      <c r="C50" s="23" t="s">
        <v>32</v>
      </c>
      <c r="D50" s="24"/>
      <c r="E50" s="24"/>
      <c r="F50" s="24"/>
      <c r="G50" s="24"/>
      <c r="H50" s="24"/>
      <c r="I50" s="24"/>
      <c r="J50" s="24"/>
      <c r="K50" s="24"/>
      <c r="L50" s="25" t="s">
        <v>33</v>
      </c>
      <c r="M50" s="26"/>
      <c r="N50" s="26"/>
      <c r="O50" s="26"/>
      <c r="P50" s="26"/>
      <c r="Q50" s="26"/>
      <c r="R50" s="27"/>
    </row>
    <row r="51" spans="1:18" ht="26" customHeight="1" x14ac:dyDescent="0.45">
      <c r="A51" s="21">
        <v>46389</v>
      </c>
      <c r="B51" s="22" t="s">
        <v>31</v>
      </c>
      <c r="C51" s="23" t="s">
        <v>32</v>
      </c>
      <c r="D51" s="24"/>
      <c r="E51" s="24"/>
      <c r="F51" s="24"/>
      <c r="G51" s="24"/>
      <c r="H51" s="24"/>
      <c r="I51" s="24"/>
      <c r="J51" s="24"/>
      <c r="K51" s="24"/>
      <c r="L51" s="25" t="s">
        <v>33</v>
      </c>
      <c r="M51" s="26"/>
      <c r="N51" s="26"/>
      <c r="O51" s="26"/>
      <c r="P51" s="26"/>
      <c r="Q51" s="26"/>
      <c r="R51" s="27"/>
    </row>
    <row r="52" spans="1:18" ht="26" customHeight="1" x14ac:dyDescent="0.45">
      <c r="A52" s="21">
        <v>46390</v>
      </c>
      <c r="B52" s="22" t="s">
        <v>57</v>
      </c>
      <c r="C52" s="23" t="s">
        <v>32</v>
      </c>
      <c r="D52" s="24"/>
      <c r="E52" s="24"/>
      <c r="F52" s="24"/>
      <c r="G52" s="24"/>
      <c r="H52" s="24"/>
      <c r="I52" s="24"/>
      <c r="J52" s="24"/>
      <c r="K52" s="24"/>
      <c r="L52" s="25" t="s">
        <v>33</v>
      </c>
      <c r="M52" s="26"/>
      <c r="N52" s="26"/>
      <c r="O52" s="26"/>
      <c r="P52" s="26"/>
      <c r="Q52" s="26"/>
      <c r="R52" s="27"/>
    </row>
    <row r="53" spans="1:18" ht="26" customHeight="1" x14ac:dyDescent="0.45">
      <c r="A53" s="21">
        <v>46396</v>
      </c>
      <c r="B53" s="22" t="s">
        <v>31</v>
      </c>
      <c r="C53" s="23" t="s">
        <v>32</v>
      </c>
      <c r="D53" s="24"/>
      <c r="E53" s="24"/>
      <c r="F53" s="24"/>
      <c r="G53" s="24"/>
      <c r="H53" s="24"/>
      <c r="I53" s="24"/>
      <c r="J53" s="24"/>
      <c r="K53" s="24"/>
      <c r="L53" s="25" t="s">
        <v>33</v>
      </c>
      <c r="M53" s="26"/>
      <c r="N53" s="26"/>
      <c r="O53" s="26"/>
      <c r="P53" s="26"/>
      <c r="Q53" s="26"/>
      <c r="R53" s="27"/>
    </row>
    <row r="54" spans="1:18" ht="26" customHeight="1" x14ac:dyDescent="0.45">
      <c r="A54" s="21">
        <v>46397</v>
      </c>
      <c r="B54" s="22" t="s">
        <v>57</v>
      </c>
      <c r="C54" s="23" t="s">
        <v>32</v>
      </c>
      <c r="D54" s="24"/>
      <c r="E54" s="24"/>
      <c r="F54" s="24"/>
      <c r="G54" s="24"/>
      <c r="H54" s="24"/>
      <c r="I54" s="24"/>
      <c r="J54" s="24"/>
      <c r="K54" s="24"/>
      <c r="L54" s="25" t="s">
        <v>33</v>
      </c>
      <c r="M54" s="26"/>
      <c r="N54" s="26"/>
      <c r="O54" s="26"/>
      <c r="P54" s="26"/>
      <c r="Q54" s="26"/>
      <c r="R54" s="27"/>
    </row>
    <row r="55" spans="1:18" ht="26" customHeight="1" x14ac:dyDescent="0.45">
      <c r="A55" s="21">
        <v>46403</v>
      </c>
      <c r="B55" s="22" t="s">
        <v>31</v>
      </c>
      <c r="C55" s="23" t="s">
        <v>32</v>
      </c>
      <c r="D55" s="24"/>
      <c r="E55" s="24"/>
      <c r="F55" s="24"/>
      <c r="G55" s="24"/>
      <c r="H55" s="24"/>
      <c r="I55" s="24"/>
      <c r="J55" s="24"/>
      <c r="K55" s="24"/>
      <c r="L55" s="25" t="s">
        <v>33</v>
      </c>
      <c r="M55" s="26"/>
      <c r="N55" s="26"/>
      <c r="O55" s="26"/>
      <c r="P55" s="26"/>
      <c r="Q55" s="26"/>
      <c r="R55" s="27"/>
    </row>
    <row r="56" spans="1:18" ht="26" customHeight="1" x14ac:dyDescent="0.45">
      <c r="A56" s="21">
        <v>46404</v>
      </c>
      <c r="B56" s="22" t="s">
        <v>57</v>
      </c>
      <c r="C56" s="23" t="s">
        <v>32</v>
      </c>
      <c r="D56" s="24"/>
      <c r="E56" s="24"/>
      <c r="F56" s="24"/>
      <c r="G56" s="24"/>
      <c r="H56" s="24"/>
      <c r="I56" s="24"/>
      <c r="J56" s="24"/>
      <c r="K56" s="24"/>
      <c r="L56" s="25" t="s">
        <v>33</v>
      </c>
      <c r="M56" s="26"/>
      <c r="N56" s="26"/>
      <c r="O56" s="26"/>
      <c r="P56" s="26"/>
      <c r="Q56" s="26"/>
      <c r="R56" s="27"/>
    </row>
    <row r="57" spans="1:18" ht="26" customHeight="1" x14ac:dyDescent="0.45">
      <c r="A57" s="21">
        <v>46410</v>
      </c>
      <c r="B57" s="22" t="s">
        <v>31</v>
      </c>
      <c r="C57" s="23" t="s">
        <v>32</v>
      </c>
      <c r="D57" s="24"/>
      <c r="E57" s="24"/>
      <c r="F57" s="24"/>
      <c r="G57" s="24"/>
      <c r="H57" s="24"/>
      <c r="I57" s="24"/>
      <c r="J57" s="24"/>
      <c r="K57" s="24"/>
      <c r="L57" s="25" t="s">
        <v>33</v>
      </c>
      <c r="M57" s="26"/>
      <c r="N57" s="26"/>
      <c r="O57" s="26"/>
      <c r="P57" s="26"/>
      <c r="Q57" s="26"/>
      <c r="R57" s="27"/>
    </row>
    <row r="58" spans="1:18" ht="26" customHeight="1" x14ac:dyDescent="0.45">
      <c r="A58" s="21">
        <v>46411</v>
      </c>
      <c r="B58" s="22" t="s">
        <v>57</v>
      </c>
      <c r="C58" s="23" t="s">
        <v>32</v>
      </c>
      <c r="D58" s="24"/>
      <c r="E58" s="24"/>
      <c r="F58" s="24"/>
      <c r="G58" s="24"/>
      <c r="H58" s="24"/>
      <c r="I58" s="24"/>
      <c r="J58" s="24"/>
      <c r="K58" s="24"/>
      <c r="L58" s="25" t="s">
        <v>33</v>
      </c>
      <c r="M58" s="26"/>
      <c r="N58" s="26"/>
      <c r="O58" s="26"/>
      <c r="P58" s="26"/>
      <c r="Q58" s="26"/>
      <c r="R58" s="27"/>
    </row>
    <row r="59" spans="1:18" ht="26" customHeight="1" x14ac:dyDescent="0.45">
      <c r="A59" s="21">
        <v>46417</v>
      </c>
      <c r="B59" s="22" t="s">
        <v>31</v>
      </c>
      <c r="C59" s="23" t="s">
        <v>32</v>
      </c>
      <c r="D59" s="24"/>
      <c r="E59" s="24"/>
      <c r="F59" s="24"/>
      <c r="G59" s="24"/>
      <c r="H59" s="24"/>
      <c r="I59" s="24"/>
      <c r="J59" s="24"/>
      <c r="K59" s="24"/>
      <c r="L59" s="25" t="s">
        <v>33</v>
      </c>
      <c r="M59" s="26"/>
      <c r="N59" s="26"/>
      <c r="O59" s="26"/>
      <c r="P59" s="26"/>
      <c r="Q59" s="26"/>
      <c r="R59" s="27"/>
    </row>
    <row r="60" spans="1:18" ht="26" customHeight="1" x14ac:dyDescent="0.45">
      <c r="A60" s="21">
        <v>46418</v>
      </c>
      <c r="B60" s="22" t="s">
        <v>57</v>
      </c>
      <c r="C60" s="23" t="s">
        <v>32</v>
      </c>
      <c r="D60" s="24"/>
      <c r="E60" s="24"/>
      <c r="F60" s="24"/>
      <c r="G60" s="24"/>
      <c r="H60" s="24"/>
      <c r="I60" s="24"/>
      <c r="J60" s="24"/>
      <c r="K60" s="24"/>
      <c r="L60" s="25" t="s">
        <v>33</v>
      </c>
      <c r="M60" s="26"/>
      <c r="N60" s="26"/>
      <c r="O60" s="26"/>
      <c r="P60" s="26"/>
      <c r="Q60" s="26"/>
      <c r="R60" s="27"/>
    </row>
    <row r="61" spans="1:18" ht="26" customHeight="1" x14ac:dyDescent="0.45">
      <c r="A61" s="21">
        <v>46424</v>
      </c>
      <c r="B61" s="22" t="s">
        <v>31</v>
      </c>
      <c r="C61" s="23" t="s">
        <v>32</v>
      </c>
      <c r="D61" s="24"/>
      <c r="E61" s="24"/>
      <c r="F61" s="24"/>
      <c r="G61" s="24"/>
      <c r="H61" s="24"/>
      <c r="I61" s="24"/>
      <c r="J61" s="24"/>
      <c r="K61" s="24"/>
      <c r="L61" s="25" t="s">
        <v>33</v>
      </c>
      <c r="M61" s="26"/>
      <c r="N61" s="26"/>
      <c r="O61" s="26"/>
      <c r="P61" s="26"/>
      <c r="Q61" s="26"/>
      <c r="R61" s="27"/>
    </row>
    <row r="62" spans="1:18" ht="26" customHeight="1" x14ac:dyDescent="0.45">
      <c r="A62" s="21">
        <v>46425</v>
      </c>
      <c r="B62" s="22" t="s">
        <v>57</v>
      </c>
      <c r="C62" s="23" t="s">
        <v>32</v>
      </c>
      <c r="D62" s="24"/>
      <c r="E62" s="24"/>
      <c r="F62" s="24"/>
      <c r="G62" s="24"/>
      <c r="H62" s="24"/>
      <c r="I62" s="24"/>
      <c r="J62" s="24"/>
      <c r="K62" s="24"/>
      <c r="L62" s="25" t="s">
        <v>33</v>
      </c>
      <c r="M62" s="26"/>
      <c r="N62" s="26"/>
      <c r="O62" s="26"/>
      <c r="P62" s="26"/>
      <c r="Q62" s="26"/>
      <c r="R62" s="27"/>
    </row>
    <row r="63" spans="1:18" ht="26" customHeight="1" x14ac:dyDescent="0.45">
      <c r="A63" s="21">
        <v>46431</v>
      </c>
      <c r="B63" s="22" t="s">
        <v>31</v>
      </c>
      <c r="C63" s="23" t="s">
        <v>32</v>
      </c>
      <c r="D63" s="24"/>
      <c r="E63" s="24"/>
      <c r="F63" s="24"/>
      <c r="G63" s="24"/>
      <c r="H63" s="24"/>
      <c r="I63" s="24"/>
      <c r="J63" s="24"/>
      <c r="K63" s="24"/>
      <c r="L63" s="25" t="s">
        <v>33</v>
      </c>
      <c r="M63" s="26"/>
      <c r="N63" s="26"/>
      <c r="O63" s="26"/>
      <c r="P63" s="26"/>
      <c r="Q63" s="26"/>
      <c r="R63" s="27"/>
    </row>
    <row r="64" spans="1:18" ht="26" customHeight="1" x14ac:dyDescent="0.45">
      <c r="A64" s="21">
        <v>46432</v>
      </c>
      <c r="B64" s="22" t="s">
        <v>57</v>
      </c>
      <c r="C64" s="23" t="s">
        <v>32</v>
      </c>
      <c r="D64" s="24"/>
      <c r="E64" s="24"/>
      <c r="F64" s="24"/>
      <c r="G64" s="24"/>
      <c r="H64" s="24"/>
      <c r="I64" s="24"/>
      <c r="J64" s="24"/>
      <c r="K64" s="24"/>
      <c r="L64" s="25" t="s">
        <v>33</v>
      </c>
      <c r="M64" s="26"/>
      <c r="N64" s="26"/>
      <c r="O64" s="26"/>
      <c r="P64" s="26"/>
      <c r="Q64" s="26"/>
      <c r="R64" s="27"/>
    </row>
    <row r="65" spans="1:18" ht="26" customHeight="1" x14ac:dyDescent="0.45">
      <c r="A65" s="21">
        <v>46438</v>
      </c>
      <c r="B65" s="22" t="s">
        <v>31</v>
      </c>
      <c r="C65" s="23" t="s">
        <v>32</v>
      </c>
      <c r="D65" s="24"/>
      <c r="E65" s="24"/>
      <c r="F65" s="24"/>
      <c r="G65" s="24"/>
      <c r="H65" s="24"/>
      <c r="I65" s="24"/>
      <c r="J65" s="24"/>
      <c r="K65" s="24"/>
      <c r="L65" s="25" t="s">
        <v>33</v>
      </c>
      <c r="M65" s="26"/>
      <c r="N65" s="26"/>
      <c r="O65" s="26"/>
      <c r="P65" s="26"/>
      <c r="Q65" s="26"/>
      <c r="R65" s="27"/>
    </row>
    <row r="66" spans="1:18" ht="26" customHeight="1" x14ac:dyDescent="0.45">
      <c r="A66" s="21">
        <v>46439</v>
      </c>
      <c r="B66" s="22" t="s">
        <v>57</v>
      </c>
      <c r="C66" s="23" t="s">
        <v>32</v>
      </c>
      <c r="D66" s="24"/>
      <c r="E66" s="24"/>
      <c r="F66" s="24"/>
      <c r="G66" s="24"/>
      <c r="H66" s="24"/>
      <c r="I66" s="24"/>
      <c r="J66" s="24"/>
      <c r="K66" s="24"/>
      <c r="L66" s="25" t="s">
        <v>33</v>
      </c>
      <c r="M66" s="26"/>
      <c r="N66" s="26"/>
      <c r="O66" s="26"/>
      <c r="P66" s="26"/>
      <c r="Q66" s="26"/>
      <c r="R66" s="27"/>
    </row>
    <row r="67" spans="1:18" ht="26" customHeight="1" x14ac:dyDescent="0.45">
      <c r="A67" s="21">
        <v>46445</v>
      </c>
      <c r="B67" s="22" t="s">
        <v>31</v>
      </c>
      <c r="C67" s="23" t="s">
        <v>32</v>
      </c>
      <c r="D67" s="24"/>
      <c r="E67" s="24"/>
      <c r="F67" s="24"/>
      <c r="G67" s="24"/>
      <c r="H67" s="24"/>
      <c r="I67" s="24"/>
      <c r="J67" s="24"/>
      <c r="K67" s="24"/>
      <c r="L67" s="25" t="s">
        <v>33</v>
      </c>
      <c r="M67" s="26"/>
      <c r="N67" s="26"/>
      <c r="O67" s="26"/>
      <c r="P67" s="26"/>
      <c r="Q67" s="26"/>
      <c r="R67" s="27"/>
    </row>
    <row r="68" spans="1:18" ht="26" customHeight="1" x14ac:dyDescent="0.45">
      <c r="A68" s="21">
        <v>46446</v>
      </c>
      <c r="B68" s="22" t="s">
        <v>57</v>
      </c>
      <c r="C68" s="23" t="s">
        <v>32</v>
      </c>
      <c r="D68" s="24"/>
      <c r="E68" s="24"/>
      <c r="F68" s="24"/>
      <c r="G68" s="24"/>
      <c r="H68" s="24"/>
      <c r="I68" s="24"/>
      <c r="J68" s="24"/>
      <c r="K68" s="24"/>
      <c r="L68" s="25" t="s">
        <v>33</v>
      </c>
      <c r="M68" s="26"/>
      <c r="N68" s="26"/>
      <c r="O68" s="26"/>
      <c r="P68" s="26"/>
      <c r="Q68" s="26"/>
      <c r="R68" s="27"/>
    </row>
    <row r="69" spans="1:18" ht="26" customHeight="1" x14ac:dyDescent="0.45">
      <c r="A69" s="21"/>
      <c r="B69" s="22"/>
      <c r="C69" s="23"/>
      <c r="D69" s="24"/>
      <c r="E69" s="24"/>
      <c r="F69" s="24"/>
      <c r="G69" s="24"/>
      <c r="H69" s="24"/>
      <c r="I69" s="24"/>
      <c r="J69" s="24"/>
      <c r="K69" s="24"/>
      <c r="L69" s="25"/>
      <c r="M69" s="26"/>
      <c r="N69" s="26"/>
      <c r="O69" s="26"/>
      <c r="P69" s="26"/>
      <c r="Q69" s="26"/>
      <c r="R69" s="27"/>
    </row>
    <row r="70" spans="1:18" ht="26" customHeight="1" x14ac:dyDescent="0.45">
      <c r="A70" s="21"/>
      <c r="B70" s="22"/>
      <c r="C70" s="23"/>
      <c r="D70" s="24"/>
      <c r="E70" s="24"/>
      <c r="F70" s="24"/>
      <c r="G70" s="24"/>
      <c r="H70" s="24"/>
      <c r="I70" s="24"/>
      <c r="J70" s="24"/>
      <c r="K70" s="24"/>
      <c r="L70" s="25"/>
      <c r="M70" s="26"/>
      <c r="N70" s="26"/>
      <c r="O70" s="26"/>
      <c r="P70" s="26"/>
      <c r="Q70" s="26"/>
      <c r="R70" s="27"/>
    </row>
    <row r="71" spans="1:18" ht="26" customHeight="1" x14ac:dyDescent="0.45">
      <c r="A71" s="21"/>
      <c r="B71" s="22"/>
      <c r="C71" s="23"/>
      <c r="D71" s="24"/>
      <c r="E71" s="24"/>
      <c r="F71" s="24"/>
      <c r="G71" s="24"/>
      <c r="H71" s="24"/>
      <c r="I71" s="24"/>
      <c r="J71" s="24"/>
      <c r="K71" s="24"/>
      <c r="L71" s="25"/>
      <c r="M71" s="26"/>
      <c r="N71" s="26"/>
      <c r="O71" s="26"/>
      <c r="P71" s="26"/>
      <c r="Q71" s="26"/>
      <c r="R71" s="27"/>
    </row>
    <row r="72" spans="1:18" ht="26" customHeight="1" x14ac:dyDescent="0.45">
      <c r="A72" s="21"/>
      <c r="B72" s="22"/>
      <c r="C72" s="23"/>
      <c r="D72" s="24"/>
      <c r="E72" s="24"/>
      <c r="F72" s="24"/>
      <c r="G72" s="24"/>
      <c r="H72" s="24"/>
      <c r="I72" s="24"/>
      <c r="J72" s="24"/>
      <c r="K72" s="24"/>
      <c r="L72" s="25"/>
      <c r="M72" s="26"/>
      <c r="N72" s="26"/>
      <c r="O72" s="26"/>
      <c r="P72" s="26"/>
      <c r="Q72" s="26"/>
      <c r="R72" s="27"/>
    </row>
    <row r="73" spans="1:18" ht="26" customHeight="1" x14ac:dyDescent="0.45">
      <c r="A73" s="21"/>
      <c r="B73" s="22"/>
      <c r="C73" s="23"/>
      <c r="D73" s="24"/>
      <c r="E73" s="24"/>
      <c r="F73" s="24"/>
      <c r="G73" s="24"/>
      <c r="H73" s="24"/>
      <c r="I73" s="24"/>
      <c r="J73" s="24"/>
      <c r="K73" s="24"/>
      <c r="L73" s="25"/>
      <c r="M73" s="26"/>
      <c r="N73" s="26"/>
      <c r="O73" s="26"/>
      <c r="P73" s="26"/>
      <c r="Q73" s="26"/>
      <c r="R73" s="27"/>
    </row>
    <row r="74" spans="1:18" ht="26" customHeight="1" x14ac:dyDescent="0.45">
      <c r="A74" s="21"/>
      <c r="B74" s="22"/>
      <c r="C74" s="23"/>
      <c r="D74" s="24"/>
      <c r="E74" s="24"/>
      <c r="F74" s="24"/>
      <c r="G74" s="24"/>
      <c r="H74" s="24"/>
      <c r="I74" s="24"/>
      <c r="J74" s="24"/>
      <c r="K74" s="24"/>
      <c r="L74" s="25"/>
      <c r="M74" s="26"/>
      <c r="N74" s="26"/>
      <c r="O74" s="26"/>
      <c r="P74" s="26"/>
      <c r="Q74" s="26"/>
      <c r="R74" s="27"/>
    </row>
    <row r="75" spans="1:18" ht="26" customHeight="1" x14ac:dyDescent="0.45">
      <c r="A75" s="21"/>
      <c r="B75" s="22"/>
      <c r="C75" s="23"/>
      <c r="D75" s="24"/>
      <c r="E75" s="24"/>
      <c r="F75" s="24"/>
      <c r="G75" s="24"/>
      <c r="H75" s="24"/>
      <c r="I75" s="24"/>
      <c r="J75" s="24"/>
      <c r="K75" s="24"/>
      <c r="L75" s="25"/>
      <c r="M75" s="26"/>
      <c r="N75" s="26"/>
      <c r="O75" s="26"/>
      <c r="P75" s="26"/>
      <c r="Q75" s="26"/>
      <c r="R75" s="27"/>
    </row>
    <row r="76" spans="1:18" ht="26" customHeight="1" x14ac:dyDescent="0.45">
      <c r="A76" s="21"/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5"/>
      <c r="M76" s="26"/>
      <c r="N76" s="26"/>
      <c r="O76" s="26"/>
      <c r="P76" s="26"/>
      <c r="Q76" s="26"/>
      <c r="R76" s="27"/>
    </row>
    <row r="77" spans="1:18" ht="26" customHeight="1" x14ac:dyDescent="0.45">
      <c r="A77" s="21"/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5"/>
      <c r="M77" s="26"/>
      <c r="N77" s="26"/>
      <c r="O77" s="26"/>
      <c r="P77" s="26"/>
      <c r="Q77" s="26"/>
      <c r="R77" s="27"/>
    </row>
    <row r="78" spans="1:18" ht="26" customHeight="1" x14ac:dyDescent="0.45">
      <c r="A78" s="21"/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5"/>
      <c r="M78" s="26"/>
      <c r="N78" s="26"/>
      <c r="O78" s="26"/>
      <c r="P78" s="26"/>
      <c r="Q78" s="26"/>
      <c r="R78" s="27"/>
    </row>
    <row r="79" spans="1:18" ht="26" customHeight="1" x14ac:dyDescent="0.45">
      <c r="A79" s="21"/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5"/>
      <c r="M79" s="26"/>
      <c r="N79" s="26"/>
      <c r="O79" s="26"/>
      <c r="P79" s="26"/>
      <c r="Q79" s="26"/>
      <c r="R79" s="27"/>
    </row>
    <row r="80" spans="1:18" ht="26" customHeight="1" x14ac:dyDescent="0.45">
      <c r="A80" s="21"/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5"/>
      <c r="M80" s="26"/>
      <c r="N80" s="26"/>
      <c r="O80" s="26"/>
      <c r="P80" s="26"/>
      <c r="Q80" s="26"/>
      <c r="R80" s="27"/>
    </row>
    <row r="81" spans="1:18" ht="26" customHeight="1" x14ac:dyDescent="0.45">
      <c r="A81" s="21"/>
      <c r="B81" s="22"/>
      <c r="C81" s="23"/>
      <c r="D81" s="24"/>
      <c r="E81" s="24"/>
      <c r="F81" s="24"/>
      <c r="G81" s="24"/>
      <c r="H81" s="24"/>
      <c r="I81" s="24"/>
      <c r="J81" s="24"/>
      <c r="K81" s="24"/>
      <c r="L81" s="25"/>
      <c r="M81" s="26"/>
      <c r="N81" s="26"/>
      <c r="O81" s="26"/>
      <c r="P81" s="26"/>
      <c r="Q81" s="26"/>
      <c r="R81" s="27"/>
    </row>
    <row r="82" spans="1:18" ht="26" customHeight="1" x14ac:dyDescent="0.45">
      <c r="A82" s="21"/>
      <c r="B82" s="22"/>
      <c r="C82" s="23"/>
      <c r="D82" s="24"/>
      <c r="E82" s="24"/>
      <c r="F82" s="24"/>
      <c r="G82" s="24"/>
      <c r="H82" s="24"/>
      <c r="I82" s="24"/>
      <c r="J82" s="24"/>
      <c r="K82" s="24"/>
      <c r="L82" s="25"/>
      <c r="M82" s="26"/>
      <c r="N82" s="26"/>
      <c r="O82" s="26"/>
      <c r="P82" s="26"/>
      <c r="Q82" s="26"/>
      <c r="R82" s="27"/>
    </row>
    <row r="83" spans="1:18" ht="26" customHeight="1" x14ac:dyDescent="0.45">
      <c r="A83" s="21"/>
      <c r="B83" s="22"/>
      <c r="C83" s="23"/>
      <c r="D83" s="24"/>
      <c r="E83" s="24"/>
      <c r="F83" s="24"/>
      <c r="G83" s="24"/>
      <c r="H83" s="24"/>
      <c r="I83" s="24"/>
      <c r="J83" s="24"/>
      <c r="K83" s="24"/>
      <c r="L83" s="25"/>
      <c r="M83" s="26"/>
      <c r="N83" s="26"/>
      <c r="O83" s="26"/>
      <c r="P83" s="26"/>
      <c r="Q83" s="26"/>
      <c r="R83" s="27"/>
    </row>
    <row r="84" spans="1:18" ht="26" customHeight="1" x14ac:dyDescent="0.45">
      <c r="A84" s="21"/>
      <c r="B84" s="22"/>
      <c r="C84" s="23"/>
      <c r="D84" s="24"/>
      <c r="E84" s="24"/>
      <c r="F84" s="24"/>
      <c r="G84" s="24"/>
      <c r="H84" s="24"/>
      <c r="I84" s="24"/>
      <c r="J84" s="24"/>
      <c r="K84" s="24"/>
      <c r="L84" s="25"/>
      <c r="M84" s="26"/>
      <c r="N84" s="26"/>
      <c r="O84" s="26"/>
      <c r="P84" s="26"/>
      <c r="Q84" s="26"/>
      <c r="R84" s="27"/>
    </row>
    <row r="85" spans="1:18" ht="26" customHeight="1" x14ac:dyDescent="0.45">
      <c r="A85" s="21"/>
      <c r="B85" s="22"/>
      <c r="C85" s="23"/>
      <c r="D85" s="24"/>
      <c r="E85" s="24"/>
      <c r="F85" s="24"/>
      <c r="G85" s="24"/>
      <c r="H85" s="24"/>
      <c r="I85" s="24"/>
      <c r="J85" s="24"/>
      <c r="K85" s="24"/>
      <c r="L85" s="25"/>
      <c r="M85" s="26"/>
      <c r="N85" s="26"/>
      <c r="O85" s="26"/>
      <c r="P85" s="26"/>
      <c r="Q85" s="26"/>
      <c r="R85" s="27"/>
    </row>
    <row r="86" spans="1:18" ht="26" customHeight="1" x14ac:dyDescent="0.45">
      <c r="A86" s="21"/>
      <c r="B86" s="22"/>
      <c r="C86" s="23"/>
      <c r="D86" s="24"/>
      <c r="E86" s="24"/>
      <c r="F86" s="24"/>
      <c r="G86" s="24"/>
      <c r="H86" s="24"/>
      <c r="I86" s="24"/>
      <c r="J86" s="24"/>
      <c r="K86" s="24"/>
      <c r="L86" s="25"/>
      <c r="M86" s="26"/>
      <c r="N86" s="26"/>
      <c r="O86" s="26"/>
      <c r="P86" s="26"/>
      <c r="Q86" s="26"/>
      <c r="R86" s="27"/>
    </row>
    <row r="87" spans="1:18" ht="26" customHeight="1" x14ac:dyDescent="0.45">
      <c r="A87" s="21"/>
      <c r="B87" s="22"/>
      <c r="C87" s="23"/>
      <c r="D87" s="24"/>
      <c r="E87" s="24"/>
      <c r="F87" s="24"/>
      <c r="G87" s="24"/>
      <c r="H87" s="24"/>
      <c r="I87" s="24"/>
      <c r="J87" s="24"/>
      <c r="K87" s="24"/>
      <c r="L87" s="25"/>
      <c r="M87" s="26"/>
      <c r="N87" s="26"/>
      <c r="O87" s="26"/>
      <c r="P87" s="26"/>
      <c r="Q87" s="26"/>
      <c r="R87" s="27"/>
    </row>
    <row r="88" spans="1:18" ht="26" customHeight="1" x14ac:dyDescent="0.45">
      <c r="A88" s="21"/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5"/>
      <c r="M88" s="26"/>
      <c r="N88" s="26"/>
      <c r="O88" s="26"/>
      <c r="P88" s="26"/>
      <c r="Q88" s="26"/>
      <c r="R88" s="27"/>
    </row>
    <row r="89" spans="1:18" ht="26" customHeight="1" x14ac:dyDescent="0.45">
      <c r="A89" s="21"/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5"/>
      <c r="M89" s="26"/>
      <c r="N89" s="26"/>
      <c r="O89" s="26"/>
      <c r="P89" s="26"/>
      <c r="Q89" s="26"/>
      <c r="R89" s="27"/>
    </row>
    <row r="90" spans="1:18" ht="26" customHeight="1" x14ac:dyDescent="0.45">
      <c r="A90" s="21"/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5"/>
      <c r="M90" s="26"/>
      <c r="N90" s="26"/>
      <c r="O90" s="26"/>
      <c r="P90" s="26"/>
      <c r="Q90" s="26"/>
      <c r="R90" s="27"/>
    </row>
    <row r="91" spans="1:18" ht="26" customHeight="1" x14ac:dyDescent="0.45">
      <c r="A91" s="21"/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5"/>
      <c r="M91" s="26"/>
      <c r="N91" s="26"/>
      <c r="O91" s="26"/>
      <c r="P91" s="26"/>
      <c r="Q91" s="26"/>
      <c r="R91" s="27"/>
    </row>
    <row r="92" spans="1:18" ht="26" customHeight="1" x14ac:dyDescent="0.45">
      <c r="A92" s="21"/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5"/>
      <c r="M92" s="26"/>
      <c r="N92" s="26"/>
      <c r="O92" s="26"/>
      <c r="P92" s="26"/>
      <c r="Q92" s="26"/>
      <c r="R92" s="27"/>
    </row>
    <row r="93" spans="1:18" ht="26" customHeight="1" x14ac:dyDescent="0.45">
      <c r="A93" s="21"/>
      <c r="B93" s="22"/>
      <c r="C93" s="23"/>
      <c r="D93" s="24"/>
      <c r="E93" s="24"/>
      <c r="F93" s="24"/>
      <c r="G93" s="24"/>
      <c r="H93" s="24"/>
      <c r="I93" s="24"/>
      <c r="J93" s="24"/>
      <c r="K93" s="24"/>
      <c r="L93" s="25"/>
      <c r="M93" s="26"/>
      <c r="N93" s="26"/>
      <c r="O93" s="26"/>
      <c r="P93" s="26"/>
      <c r="Q93" s="26"/>
      <c r="R93" s="27"/>
    </row>
    <row r="94" spans="1:18" ht="26" customHeight="1" x14ac:dyDescent="0.45">
      <c r="A94" s="21"/>
      <c r="B94" s="22"/>
      <c r="C94" s="23"/>
      <c r="D94" s="24"/>
      <c r="E94" s="24"/>
      <c r="F94" s="24"/>
      <c r="G94" s="24"/>
      <c r="H94" s="24"/>
      <c r="I94" s="24"/>
      <c r="J94" s="24"/>
      <c r="K94" s="24"/>
      <c r="L94" s="25"/>
      <c r="M94" s="26"/>
      <c r="N94" s="26"/>
      <c r="O94" s="26"/>
      <c r="P94" s="26"/>
      <c r="Q94" s="26"/>
      <c r="R94" s="27"/>
    </row>
    <row r="95" spans="1:18" ht="26" customHeight="1" x14ac:dyDescent="0.45">
      <c r="A95" s="21"/>
      <c r="B95" s="22"/>
      <c r="C95" s="23"/>
      <c r="D95" s="24"/>
      <c r="E95" s="24"/>
      <c r="F95" s="24"/>
      <c r="G95" s="24"/>
      <c r="H95" s="24"/>
      <c r="I95" s="24"/>
      <c r="J95" s="24"/>
      <c r="K95" s="24"/>
      <c r="L95" s="25"/>
      <c r="M95" s="26"/>
      <c r="N95" s="26"/>
      <c r="O95" s="26"/>
      <c r="P95" s="26"/>
      <c r="Q95" s="26"/>
      <c r="R95" s="27"/>
    </row>
    <row r="96" spans="1:18" ht="26" customHeight="1" x14ac:dyDescent="0.45">
      <c r="A96" s="21"/>
      <c r="B96" s="22"/>
      <c r="C96" s="23"/>
      <c r="D96" s="24"/>
      <c r="E96" s="24"/>
      <c r="F96" s="24"/>
      <c r="G96" s="24"/>
      <c r="H96" s="24"/>
      <c r="I96" s="24"/>
      <c r="J96" s="24"/>
      <c r="K96" s="24"/>
      <c r="L96" s="25"/>
      <c r="M96" s="26"/>
      <c r="N96" s="26"/>
      <c r="O96" s="26"/>
      <c r="P96" s="26"/>
      <c r="Q96" s="26"/>
      <c r="R96" s="27"/>
    </row>
    <row r="97" spans="1:18" ht="26" customHeight="1" x14ac:dyDescent="0.45">
      <c r="A97" s="21"/>
      <c r="B97" s="22"/>
      <c r="C97" s="23"/>
      <c r="D97" s="24"/>
      <c r="E97" s="24"/>
      <c r="F97" s="24"/>
      <c r="G97" s="24"/>
      <c r="H97" s="24"/>
      <c r="I97" s="24"/>
      <c r="J97" s="24"/>
      <c r="K97" s="24"/>
      <c r="L97" s="25"/>
      <c r="M97" s="26"/>
      <c r="N97" s="26"/>
      <c r="O97" s="26"/>
      <c r="P97" s="26"/>
      <c r="Q97" s="26"/>
      <c r="R97" s="27"/>
    </row>
    <row r="98" spans="1:18" ht="26" customHeight="1" x14ac:dyDescent="0.45">
      <c r="A98" s="21"/>
      <c r="B98" s="22"/>
      <c r="C98" s="23"/>
      <c r="D98" s="24"/>
      <c r="E98" s="24"/>
      <c r="F98" s="24"/>
      <c r="G98" s="24"/>
      <c r="H98" s="24"/>
      <c r="I98" s="24"/>
      <c r="J98" s="24"/>
      <c r="K98" s="24"/>
      <c r="L98" s="25"/>
      <c r="M98" s="26"/>
      <c r="N98" s="26"/>
      <c r="O98" s="26"/>
      <c r="P98" s="26"/>
      <c r="Q98" s="26"/>
      <c r="R98" s="27"/>
    </row>
    <row r="99" spans="1:18" ht="26" customHeight="1" x14ac:dyDescent="0.45">
      <c r="A99" s="21"/>
      <c r="B99" s="22"/>
      <c r="C99" s="23"/>
      <c r="D99" s="24"/>
      <c r="E99" s="24"/>
      <c r="F99" s="24"/>
      <c r="G99" s="24"/>
      <c r="H99" s="24"/>
      <c r="I99" s="24"/>
      <c r="J99" s="24"/>
      <c r="K99" s="24"/>
      <c r="L99" s="25"/>
      <c r="M99" s="26"/>
      <c r="N99" s="26"/>
      <c r="O99" s="26"/>
      <c r="P99" s="26"/>
      <c r="Q99" s="26"/>
      <c r="R99" s="27"/>
    </row>
    <row r="100" spans="1:18" ht="26" customHeight="1" x14ac:dyDescent="0.45">
      <c r="A100" s="21"/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5"/>
      <c r="M100" s="26"/>
      <c r="N100" s="26"/>
      <c r="O100" s="26"/>
      <c r="P100" s="26"/>
      <c r="Q100" s="26"/>
      <c r="R100" s="27"/>
    </row>
    <row r="101" spans="1:18" ht="25.05" customHeight="1" x14ac:dyDescent="0.45">
      <c r="A101" s="21"/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5"/>
      <c r="M101" s="26"/>
      <c r="N101" s="26"/>
      <c r="O101" s="26"/>
      <c r="P101" s="26"/>
      <c r="Q101" s="26"/>
      <c r="R101" s="27"/>
    </row>
    <row r="102" spans="1:18" ht="25.05" customHeight="1" x14ac:dyDescent="0.45">
      <c r="A102" s="21"/>
      <c r="B102" s="22"/>
      <c r="C102" s="28"/>
      <c r="D102" s="24"/>
      <c r="E102" s="24"/>
      <c r="F102" s="24"/>
      <c r="G102" s="24"/>
      <c r="H102" s="24"/>
      <c r="I102" s="24"/>
      <c r="J102" s="24"/>
      <c r="K102" s="24"/>
      <c r="L102" s="25"/>
      <c r="M102" s="26"/>
      <c r="N102" s="26"/>
      <c r="O102" s="26"/>
      <c r="P102" s="26"/>
      <c r="Q102" s="26"/>
      <c r="R102" s="27"/>
    </row>
    <row r="103" spans="1:18" ht="25.05" customHeight="1" x14ac:dyDescent="0.45">
      <c r="A103" s="21"/>
      <c r="B103" s="22"/>
      <c r="C103" s="30"/>
      <c r="D103" s="24"/>
      <c r="E103" s="24"/>
      <c r="F103" s="24"/>
      <c r="G103" s="24"/>
      <c r="H103" s="24"/>
      <c r="I103" s="24"/>
      <c r="J103" s="24"/>
      <c r="K103" s="24"/>
      <c r="L103" s="25"/>
      <c r="M103" s="26"/>
      <c r="N103" s="26"/>
      <c r="O103" s="26"/>
      <c r="P103" s="26"/>
      <c r="Q103" s="26"/>
      <c r="R103" s="27"/>
    </row>
    <row r="104" spans="1:18" ht="25.05" customHeight="1" x14ac:dyDescent="0.45">
      <c r="A104" s="21"/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5"/>
      <c r="M104" s="26"/>
      <c r="N104" s="26"/>
      <c r="O104" s="26"/>
      <c r="P104" s="26"/>
      <c r="Q104" s="26"/>
      <c r="R104" s="27"/>
    </row>
    <row r="105" spans="1:18" ht="25.05" customHeight="1" x14ac:dyDescent="0.45">
      <c r="A105" s="21"/>
      <c r="B105" s="22"/>
      <c r="C105" s="28"/>
      <c r="D105" s="24"/>
      <c r="E105" s="24"/>
      <c r="F105" s="24"/>
      <c r="G105" s="24"/>
      <c r="H105" s="24"/>
      <c r="I105" s="24"/>
      <c r="J105" s="24"/>
      <c r="K105" s="24"/>
      <c r="L105" s="25"/>
      <c r="M105" s="26"/>
      <c r="N105" s="26"/>
      <c r="O105" s="26"/>
      <c r="P105" s="26"/>
      <c r="Q105" s="26"/>
      <c r="R105" s="27"/>
    </row>
    <row r="106" spans="1:18" ht="25.05" customHeight="1" x14ac:dyDescent="0.45">
      <c r="A106" s="21"/>
      <c r="B106" s="22"/>
      <c r="C106" s="30"/>
      <c r="D106" s="24"/>
      <c r="E106" s="24"/>
      <c r="F106" s="24"/>
      <c r="G106" s="24"/>
      <c r="H106" s="24"/>
      <c r="I106" s="24"/>
      <c r="J106" s="24"/>
      <c r="K106" s="24"/>
      <c r="L106" s="25"/>
      <c r="M106" s="26"/>
      <c r="N106" s="26"/>
      <c r="O106" s="26"/>
      <c r="P106" s="26"/>
      <c r="Q106" s="26"/>
      <c r="R106" s="27"/>
    </row>
    <row r="107" spans="1:18" ht="25.05" customHeight="1" x14ac:dyDescent="0.45">
      <c r="A107" s="21"/>
      <c r="B107" s="22"/>
      <c r="C107" s="23"/>
      <c r="D107" s="24"/>
      <c r="E107" s="24"/>
      <c r="F107" s="24"/>
      <c r="G107" s="24"/>
      <c r="H107" s="24"/>
      <c r="I107" s="24"/>
      <c r="J107" s="24"/>
      <c r="K107" s="24"/>
      <c r="L107" s="25"/>
      <c r="M107" s="26"/>
      <c r="N107" s="26"/>
      <c r="O107" s="26"/>
      <c r="P107" s="26"/>
      <c r="Q107" s="26"/>
      <c r="R107" s="27"/>
    </row>
    <row r="108" spans="1:18" ht="25.05" customHeight="1" x14ac:dyDescent="0.45">
      <c r="A108" s="21"/>
      <c r="B108" s="22"/>
      <c r="C108" s="28"/>
      <c r="D108" s="24"/>
      <c r="E108" s="24"/>
      <c r="F108" s="24"/>
      <c r="G108" s="24"/>
      <c r="H108" s="24"/>
      <c r="I108" s="24"/>
      <c r="J108" s="24"/>
      <c r="K108" s="24"/>
      <c r="L108" s="25"/>
      <c r="M108" s="26"/>
      <c r="N108" s="26"/>
      <c r="O108" s="26"/>
      <c r="P108" s="26"/>
      <c r="Q108" s="26"/>
      <c r="R108" s="27"/>
    </row>
    <row r="109" spans="1:18" ht="25.05" customHeight="1" x14ac:dyDescent="0.45">
      <c r="A109" s="21"/>
      <c r="B109" s="22"/>
      <c r="C109" s="30"/>
      <c r="D109" s="24"/>
      <c r="E109" s="24"/>
      <c r="F109" s="24"/>
      <c r="G109" s="24"/>
      <c r="H109" s="24"/>
      <c r="I109" s="24"/>
      <c r="J109" s="24"/>
      <c r="K109" s="24"/>
      <c r="L109" s="25"/>
      <c r="M109" s="26"/>
      <c r="N109" s="26"/>
      <c r="O109" s="26"/>
      <c r="P109" s="26"/>
      <c r="Q109" s="26"/>
      <c r="R109" s="27"/>
    </row>
    <row r="110" spans="1:18" ht="25.05" customHeight="1" x14ac:dyDescent="0.45">
      <c r="A110" s="21"/>
      <c r="B110" s="22"/>
      <c r="C110" s="23"/>
      <c r="D110" s="24"/>
      <c r="E110" s="24"/>
      <c r="F110" s="24"/>
      <c r="G110" s="24"/>
      <c r="H110" s="24"/>
      <c r="I110" s="24"/>
      <c r="J110" s="24"/>
      <c r="K110" s="24"/>
      <c r="L110" s="25"/>
      <c r="M110" s="26"/>
      <c r="N110" s="26"/>
      <c r="O110" s="26"/>
      <c r="P110" s="26"/>
      <c r="Q110" s="26"/>
      <c r="R110" s="27"/>
    </row>
    <row r="111" spans="1:18" ht="25.05" customHeight="1" x14ac:dyDescent="0.45">
      <c r="A111" s="21"/>
      <c r="B111" s="22"/>
      <c r="C111" s="28"/>
      <c r="D111" s="24"/>
      <c r="E111" s="24"/>
      <c r="F111" s="24"/>
      <c r="G111" s="24"/>
      <c r="H111" s="24"/>
      <c r="I111" s="24"/>
      <c r="J111" s="24"/>
      <c r="K111" s="24"/>
      <c r="L111" s="25"/>
      <c r="M111" s="26"/>
      <c r="N111" s="26"/>
      <c r="O111" s="26"/>
      <c r="P111" s="26"/>
      <c r="Q111" s="26"/>
      <c r="R111" s="27"/>
    </row>
    <row r="112" spans="1:18" ht="25.05" customHeight="1" x14ac:dyDescent="0.45">
      <c r="A112" s="21"/>
      <c r="B112" s="22"/>
      <c r="C112" s="30"/>
      <c r="D112" s="24"/>
      <c r="E112" s="24"/>
      <c r="F112" s="24"/>
      <c r="G112" s="24"/>
      <c r="H112" s="24"/>
      <c r="I112" s="24"/>
      <c r="J112" s="24"/>
      <c r="K112" s="24"/>
      <c r="L112" s="25"/>
      <c r="M112" s="26"/>
      <c r="N112" s="26"/>
      <c r="O112" s="26"/>
      <c r="P112" s="26"/>
      <c r="Q112" s="26"/>
      <c r="R112" s="27"/>
    </row>
    <row r="113" spans="1:18" ht="25.05" customHeight="1" x14ac:dyDescent="0.45">
      <c r="A113" s="21"/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5"/>
      <c r="M113" s="26"/>
      <c r="N113" s="26"/>
      <c r="O113" s="26"/>
      <c r="P113" s="26"/>
      <c r="Q113" s="26"/>
      <c r="R113" s="27"/>
    </row>
    <row r="114" spans="1:18" ht="25.05" customHeight="1" x14ac:dyDescent="0.45">
      <c r="A114" s="21"/>
      <c r="B114" s="22"/>
      <c r="C114" s="28"/>
      <c r="D114" s="24"/>
      <c r="E114" s="24"/>
      <c r="F114" s="24"/>
      <c r="G114" s="24"/>
      <c r="H114" s="24"/>
      <c r="I114" s="24"/>
      <c r="J114" s="24"/>
      <c r="K114" s="24"/>
      <c r="L114" s="25"/>
      <c r="M114" s="26"/>
      <c r="N114" s="26"/>
      <c r="O114" s="26"/>
      <c r="P114" s="26"/>
      <c r="Q114" s="26"/>
      <c r="R114" s="27"/>
    </row>
    <row r="115" spans="1:18" ht="25.05" customHeight="1" x14ac:dyDescent="0.45">
      <c r="A115" s="21"/>
      <c r="B115" s="22"/>
      <c r="C115" s="30"/>
      <c r="D115" s="24"/>
      <c r="E115" s="24"/>
      <c r="F115" s="24"/>
      <c r="G115" s="24"/>
      <c r="H115" s="24"/>
      <c r="I115" s="24"/>
      <c r="J115" s="24"/>
      <c r="K115" s="24"/>
      <c r="L115" s="25"/>
      <c r="M115" s="26"/>
      <c r="N115" s="26"/>
      <c r="O115" s="26"/>
      <c r="P115" s="26"/>
      <c r="Q115" s="26"/>
      <c r="R115" s="27"/>
    </row>
    <row r="116" spans="1:18" ht="25.05" customHeight="1" x14ac:dyDescent="0.45">
      <c r="A116" s="21"/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5"/>
      <c r="M116" s="26"/>
      <c r="N116" s="26"/>
      <c r="O116" s="26"/>
      <c r="P116" s="26"/>
      <c r="Q116" s="26"/>
      <c r="R116" s="27"/>
    </row>
    <row r="117" spans="1:18" ht="25.05" customHeight="1" x14ac:dyDescent="0.45">
      <c r="A117" s="21"/>
      <c r="B117" s="22"/>
      <c r="C117" s="28"/>
      <c r="D117" s="24"/>
      <c r="E117" s="24"/>
      <c r="F117" s="24"/>
      <c r="G117" s="24"/>
      <c r="H117" s="24"/>
      <c r="I117" s="24"/>
      <c r="J117" s="24"/>
      <c r="K117" s="24"/>
      <c r="L117" s="25"/>
      <c r="M117" s="26"/>
      <c r="N117" s="26"/>
      <c r="O117" s="26"/>
      <c r="P117" s="26"/>
      <c r="Q117" s="26"/>
      <c r="R117" s="27"/>
    </row>
    <row r="118" spans="1:18" ht="25.05" customHeight="1" x14ac:dyDescent="0.45">
      <c r="A118" s="21"/>
      <c r="B118" s="22"/>
      <c r="C118" s="30"/>
      <c r="D118" s="24"/>
      <c r="E118" s="24"/>
      <c r="F118" s="24"/>
      <c r="G118" s="24"/>
      <c r="H118" s="24"/>
      <c r="I118" s="24"/>
      <c r="J118" s="24"/>
      <c r="K118" s="24"/>
      <c r="L118" s="25"/>
      <c r="M118" s="26"/>
      <c r="N118" s="26"/>
      <c r="O118" s="26"/>
      <c r="P118" s="26"/>
      <c r="Q118" s="26"/>
      <c r="R118" s="27"/>
    </row>
    <row r="119" spans="1:18" ht="25.05" customHeight="1" x14ac:dyDescent="0.45">
      <c r="A119" s="21"/>
      <c r="B119" s="22"/>
      <c r="C119" s="23"/>
      <c r="D119" s="24"/>
      <c r="E119" s="24"/>
      <c r="F119" s="24"/>
      <c r="G119" s="24"/>
      <c r="H119" s="24"/>
      <c r="I119" s="24"/>
      <c r="J119" s="24"/>
      <c r="K119" s="24"/>
      <c r="L119" s="25"/>
      <c r="M119" s="26"/>
      <c r="N119" s="26"/>
      <c r="O119" s="26"/>
      <c r="P119" s="26"/>
      <c r="Q119" s="26"/>
      <c r="R119" s="27"/>
    </row>
    <row r="120" spans="1:18" ht="25.05" customHeight="1" x14ac:dyDescent="0.45">
      <c r="A120" s="21"/>
      <c r="B120" s="22"/>
      <c r="C120" s="28"/>
      <c r="D120" s="24"/>
      <c r="E120" s="24"/>
      <c r="F120" s="24"/>
      <c r="G120" s="24"/>
      <c r="H120" s="24"/>
      <c r="I120" s="24"/>
      <c r="J120" s="24"/>
      <c r="K120" s="24"/>
      <c r="L120" s="25"/>
      <c r="M120" s="26"/>
      <c r="N120" s="26"/>
      <c r="O120" s="26"/>
      <c r="P120" s="26"/>
      <c r="Q120" s="26"/>
      <c r="R120" s="27"/>
    </row>
    <row r="121" spans="1:18" ht="25.05" customHeight="1" x14ac:dyDescent="0.45">
      <c r="A121" s="21"/>
      <c r="B121" s="22"/>
      <c r="C121" s="30"/>
      <c r="D121" s="24"/>
      <c r="E121" s="24"/>
      <c r="F121" s="24"/>
      <c r="G121" s="24"/>
      <c r="H121" s="24"/>
      <c r="I121" s="24"/>
      <c r="J121" s="24"/>
      <c r="K121" s="24"/>
      <c r="L121" s="25"/>
      <c r="M121" s="26"/>
      <c r="N121" s="26"/>
      <c r="O121" s="26"/>
      <c r="P121" s="26"/>
      <c r="Q121" s="26"/>
      <c r="R121" s="27"/>
    </row>
    <row r="122" spans="1:18" ht="25.05" customHeight="1" x14ac:dyDescent="0.45">
      <c r="A122" s="21"/>
      <c r="B122" s="22"/>
      <c r="C122" s="23"/>
      <c r="D122" s="24"/>
      <c r="E122" s="24"/>
      <c r="F122" s="24"/>
      <c r="G122" s="24"/>
      <c r="H122" s="24"/>
      <c r="I122" s="24"/>
      <c r="J122" s="24"/>
      <c r="K122" s="24"/>
      <c r="L122" s="25"/>
      <c r="M122" s="26"/>
      <c r="N122" s="26"/>
      <c r="O122" s="26"/>
      <c r="P122" s="26"/>
      <c r="Q122" s="26"/>
      <c r="R122" s="27"/>
    </row>
    <row r="123" spans="1:18" ht="25.05" customHeight="1" x14ac:dyDescent="0.45">
      <c r="A123" s="21"/>
      <c r="B123" s="22"/>
      <c r="C123" s="28"/>
      <c r="D123" s="24"/>
      <c r="E123" s="24"/>
      <c r="F123" s="24"/>
      <c r="G123" s="24"/>
      <c r="H123" s="24"/>
      <c r="I123" s="24"/>
      <c r="J123" s="24"/>
      <c r="K123" s="24"/>
      <c r="L123" s="25"/>
      <c r="M123" s="26"/>
      <c r="N123" s="26"/>
      <c r="O123" s="26"/>
      <c r="P123" s="26"/>
      <c r="Q123" s="26"/>
      <c r="R123" s="27"/>
    </row>
    <row r="124" spans="1:18" ht="25.05" customHeight="1" x14ac:dyDescent="0.45">
      <c r="A124" s="21"/>
      <c r="B124" s="22"/>
      <c r="C124" s="30"/>
      <c r="D124" s="24"/>
      <c r="E124" s="24"/>
      <c r="F124" s="24"/>
      <c r="G124" s="24"/>
      <c r="H124" s="24"/>
      <c r="I124" s="24"/>
      <c r="J124" s="24"/>
      <c r="K124" s="24"/>
      <c r="L124" s="25"/>
      <c r="M124" s="26"/>
      <c r="N124" s="26"/>
      <c r="O124" s="26"/>
      <c r="P124" s="26"/>
      <c r="Q124" s="26"/>
      <c r="R124" s="27"/>
    </row>
    <row r="125" spans="1:18" ht="25.05" customHeight="1" x14ac:dyDescent="0.45">
      <c r="A125" s="21"/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5"/>
      <c r="M125" s="26"/>
      <c r="N125" s="26"/>
      <c r="O125" s="26"/>
      <c r="P125" s="26"/>
      <c r="Q125" s="26"/>
      <c r="R125" s="27"/>
    </row>
    <row r="126" spans="1:18" ht="25.05" customHeight="1" x14ac:dyDescent="0.45">
      <c r="A126" s="21"/>
      <c r="B126" s="22"/>
      <c r="C126" s="28"/>
      <c r="D126" s="24"/>
      <c r="E126" s="24"/>
      <c r="F126" s="24"/>
      <c r="G126" s="24"/>
      <c r="H126" s="24"/>
      <c r="I126" s="24"/>
      <c r="J126" s="24"/>
      <c r="K126" s="24"/>
      <c r="L126" s="25"/>
      <c r="M126" s="26"/>
      <c r="N126" s="26"/>
      <c r="O126" s="26"/>
      <c r="P126" s="26"/>
      <c r="Q126" s="26"/>
      <c r="R126" s="27"/>
    </row>
    <row r="127" spans="1:18" ht="25.05" customHeight="1" x14ac:dyDescent="0.45">
      <c r="A127" s="21"/>
      <c r="B127" s="22"/>
      <c r="C127" s="30"/>
      <c r="D127" s="24"/>
      <c r="E127" s="24"/>
      <c r="F127" s="24"/>
      <c r="G127" s="24"/>
      <c r="H127" s="24"/>
      <c r="I127" s="24"/>
      <c r="J127" s="24"/>
      <c r="K127" s="24"/>
      <c r="L127" s="25"/>
      <c r="M127" s="26"/>
      <c r="N127" s="26"/>
      <c r="O127" s="26"/>
      <c r="P127" s="26"/>
      <c r="Q127" s="26"/>
      <c r="R127" s="27"/>
    </row>
    <row r="128" spans="1:18" ht="25.05" customHeight="1" x14ac:dyDescent="0.45">
      <c r="A128" s="21"/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5"/>
      <c r="M128" s="26"/>
      <c r="N128" s="26"/>
      <c r="O128" s="26"/>
      <c r="P128" s="26"/>
      <c r="Q128" s="26"/>
      <c r="R128" s="27"/>
    </row>
    <row r="129" spans="1:18" ht="25.05" customHeight="1" x14ac:dyDescent="0.45">
      <c r="A129" s="21"/>
      <c r="B129" s="22"/>
      <c r="C129" s="28"/>
      <c r="D129" s="24"/>
      <c r="E129" s="24"/>
      <c r="F129" s="24"/>
      <c r="G129" s="24"/>
      <c r="H129" s="24"/>
      <c r="I129" s="24"/>
      <c r="J129" s="24"/>
      <c r="K129" s="24"/>
      <c r="L129" s="25"/>
      <c r="M129" s="26"/>
      <c r="N129" s="26"/>
      <c r="O129" s="26"/>
      <c r="P129" s="26"/>
      <c r="Q129" s="26"/>
      <c r="R129" s="27"/>
    </row>
    <row r="130" spans="1:18" ht="25.05" customHeight="1" x14ac:dyDescent="0.45">
      <c r="A130" s="21"/>
      <c r="B130" s="22"/>
      <c r="C130" s="30"/>
      <c r="D130" s="24"/>
      <c r="E130" s="24"/>
      <c r="F130" s="24"/>
      <c r="G130" s="24"/>
      <c r="H130" s="24"/>
      <c r="I130" s="24"/>
      <c r="J130" s="24"/>
      <c r="K130" s="24"/>
      <c r="L130" s="25"/>
      <c r="M130" s="26"/>
      <c r="N130" s="26"/>
      <c r="O130" s="26"/>
      <c r="P130" s="26"/>
      <c r="Q130" s="26"/>
      <c r="R130" s="27"/>
    </row>
    <row r="131" spans="1:18" ht="25.05" customHeight="1" x14ac:dyDescent="0.45">
      <c r="A131" s="21"/>
      <c r="B131" s="22"/>
      <c r="C131" s="23"/>
      <c r="D131" s="24"/>
      <c r="E131" s="24"/>
      <c r="F131" s="24"/>
      <c r="G131" s="24"/>
      <c r="H131" s="24"/>
      <c r="I131" s="24"/>
      <c r="J131" s="24"/>
      <c r="K131" s="24"/>
      <c r="L131" s="25"/>
      <c r="M131" s="26"/>
      <c r="N131" s="26"/>
      <c r="O131" s="26"/>
      <c r="P131" s="26"/>
      <c r="Q131" s="26"/>
      <c r="R131" s="27"/>
    </row>
    <row r="132" spans="1:18" ht="25.05" customHeight="1" x14ac:dyDescent="0.45">
      <c r="A132" s="21"/>
      <c r="B132" s="22"/>
      <c r="C132" s="28"/>
      <c r="D132" s="24"/>
      <c r="E132" s="24"/>
      <c r="F132" s="24"/>
      <c r="G132" s="24"/>
      <c r="H132" s="24"/>
      <c r="I132" s="24"/>
      <c r="J132" s="24"/>
      <c r="K132" s="24"/>
      <c r="L132" s="25"/>
      <c r="M132" s="26"/>
      <c r="N132" s="26"/>
      <c r="O132" s="26"/>
      <c r="P132" s="26"/>
      <c r="Q132" s="26"/>
      <c r="R132" s="27"/>
    </row>
    <row r="133" spans="1:18" ht="25.05" customHeight="1" x14ac:dyDescent="0.45">
      <c r="A133" s="21"/>
      <c r="B133" s="22"/>
      <c r="C133" s="30"/>
      <c r="D133" s="24"/>
      <c r="E133" s="24"/>
      <c r="F133" s="24"/>
      <c r="G133" s="24"/>
      <c r="H133" s="24"/>
      <c r="I133" s="24"/>
      <c r="J133" s="24"/>
      <c r="K133" s="24"/>
      <c r="L133" s="25"/>
      <c r="M133" s="26"/>
      <c r="N133" s="26"/>
      <c r="O133" s="26"/>
      <c r="P133" s="26"/>
      <c r="Q133" s="26"/>
      <c r="R133" s="27"/>
    </row>
    <row r="134" spans="1:18" ht="25.05" customHeight="1" x14ac:dyDescent="0.45">
      <c r="A134" s="21"/>
      <c r="B134" s="22"/>
      <c r="C134" s="23"/>
      <c r="D134" s="24"/>
      <c r="E134" s="24"/>
      <c r="F134" s="24"/>
      <c r="G134" s="24"/>
      <c r="H134" s="24"/>
      <c r="I134" s="24"/>
      <c r="J134" s="24"/>
      <c r="K134" s="24"/>
      <c r="L134" s="25"/>
      <c r="M134" s="26"/>
      <c r="N134" s="26"/>
      <c r="O134" s="26"/>
      <c r="P134" s="26"/>
      <c r="Q134" s="26"/>
      <c r="R134" s="27"/>
    </row>
    <row r="135" spans="1:18" ht="25.05" customHeight="1" x14ac:dyDescent="0.45">
      <c r="A135" s="21"/>
      <c r="B135" s="22"/>
      <c r="C135" s="28"/>
      <c r="D135" s="24"/>
      <c r="E135" s="24"/>
      <c r="F135" s="24"/>
      <c r="G135" s="24"/>
      <c r="H135" s="24"/>
      <c r="I135" s="24"/>
      <c r="J135" s="24"/>
      <c r="K135" s="24"/>
      <c r="L135" s="25"/>
      <c r="M135" s="26"/>
      <c r="N135" s="26"/>
      <c r="O135" s="26"/>
      <c r="P135" s="26"/>
      <c r="Q135" s="26"/>
      <c r="R135" s="27"/>
    </row>
    <row r="136" spans="1:18" ht="25.05" customHeight="1" x14ac:dyDescent="0.45">
      <c r="A136" s="21"/>
      <c r="B136" s="22"/>
      <c r="C136" s="30"/>
      <c r="D136" s="24"/>
      <c r="E136" s="24"/>
      <c r="F136" s="24"/>
      <c r="G136" s="24"/>
      <c r="H136" s="24"/>
      <c r="I136" s="24"/>
      <c r="J136" s="24"/>
      <c r="K136" s="24"/>
      <c r="L136" s="25"/>
      <c r="M136" s="26"/>
      <c r="N136" s="26"/>
      <c r="O136" s="26"/>
      <c r="P136" s="26"/>
      <c r="Q136" s="26"/>
      <c r="R136" s="27"/>
    </row>
  </sheetData>
  <autoFilter ref="A4:R68" xr:uid="{00000000-0009-0000-0000-000001000000}"/>
  <mergeCells count="2">
    <mergeCell ref="A2:Q2"/>
    <mergeCell ref="A1:Q1"/>
  </mergeCells>
  <conditionalFormatting sqref="L5:L58">
    <cfRule type="expression" dxfId="34" priority="11">
      <formula>L5="Completed"</formula>
    </cfRule>
    <cfRule type="expression" dxfId="33" priority="12">
      <formula>L5="Booked"</formula>
    </cfRule>
    <cfRule type="expression" dxfId="32" priority="13">
      <formula>L5="Scheduled"</formula>
    </cfRule>
    <cfRule type="expression" dxfId="31" priority="14">
      <formula>L5="Available"</formula>
    </cfRule>
    <cfRule type="expression" dxfId="30" priority="15">
      <formula>L5="Cancelled"</formula>
    </cfRule>
  </conditionalFormatting>
  <conditionalFormatting sqref="Q5:Q28">
    <cfRule type="expression" dxfId="29" priority="5">
      <formula>Q5="Booked"</formula>
    </cfRule>
    <cfRule type="expression" dxfId="28" priority="6">
      <formula>Q5="Completed"</formula>
    </cfRule>
    <cfRule type="expression" dxfId="27" priority="7">
      <formula>Q5="Cancelled"</formula>
    </cfRule>
    <cfRule type="expression" dxfId="26" priority="8">
      <formula>Q5="Available"</formula>
    </cfRule>
    <cfRule type="expression" dxfId="25" priority="9">
      <formula>Q5="Scheduled"</formula>
    </cfRule>
  </conditionalFormatting>
  <conditionalFormatting sqref="Q5:Q43">
    <cfRule type="expression" dxfId="24" priority="1">
      <formula>Q5="Booked"</formula>
    </cfRule>
    <cfRule type="expression" dxfId="23" priority="2">
      <formula>Q5="Completed"</formula>
    </cfRule>
    <cfRule type="expression" dxfId="22" priority="3">
      <formula>Q5="Cancelled"</formula>
    </cfRule>
    <cfRule type="expression" dxfId="21" priority="4">
      <formula>Q5="Available"</formula>
    </cfRule>
  </conditionalFormatting>
  <conditionalFormatting sqref="R5:R28">
    <cfRule type="expression" dxfId="20" priority="10">
      <formula>LEN(R5)&gt;0</formula>
    </cfRule>
  </conditionalFormatting>
  <dataValidations count="4">
    <dataValidation type="list" allowBlank="1" sqref="C5:C43" xr:uid="{00000000-0002-0000-0100-000000000000}">
      <formula1>"AK Club Ground,MCG Ground,DY Patil Ground,Lords of Maval"</formula1>
    </dataValidation>
    <dataValidation type="list" allowBlank="1" sqref="Q5:Q43" xr:uid="{00000000-0002-0000-0100-000001000000}">
      <formula1>"Available,Booked,Completed,Cancelled"</formula1>
    </dataValidation>
    <dataValidation type="list" allowBlank="1" sqref="Q5:Q28" xr:uid="{00000000-0002-0000-0100-000002000000}">
      <formula1>"Available,Booked,Scheduled,Completed,Cancelled"</formula1>
    </dataValidation>
    <dataValidation type="list" allowBlank="1" sqref="L5:L58" xr:uid="{00000000-0002-0000-0100-000004000000}">
      <formula1>"Booked,Scheduled,Available,Completed,Cancelled"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3"/>
  <sheetViews>
    <sheetView showGridLines="0" workbookViewId="0">
      <pane ySplit="3" topLeftCell="A72" activePane="bottomLeft" state="frozen"/>
      <selection pane="bottomLeft" activeCell="D87" sqref="D87"/>
    </sheetView>
  </sheetViews>
  <sheetFormatPr defaultRowHeight="14.25" x14ac:dyDescent="0.45"/>
  <cols>
    <col min="1" max="1" width="14" customWidth="1"/>
    <col min="2" max="2" width="25" customWidth="1"/>
    <col min="3" max="3" width="18" customWidth="1"/>
    <col min="4" max="4" width="36" customWidth="1"/>
    <col min="5" max="5" width="26" customWidth="1"/>
    <col min="6" max="6" width="18" customWidth="1"/>
    <col min="7" max="7" width="26" customWidth="1"/>
    <col min="8" max="8" width="18" customWidth="1"/>
    <col min="9" max="9" width="24" customWidth="1"/>
    <col min="10" max="10" width="30" customWidth="1"/>
  </cols>
  <sheetData>
    <row r="1" spans="1:10" ht="32" customHeight="1" x14ac:dyDescent="0.45">
      <c r="A1" s="44" t="s">
        <v>101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34.049999999999997" customHeight="1" x14ac:dyDescent="0.45">
      <c r="A2" s="48" t="s">
        <v>102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2" customHeight="1" x14ac:dyDescent="0.45">
      <c r="A3" s="15" t="s">
        <v>103</v>
      </c>
      <c r="B3" s="15" t="s">
        <v>15</v>
      </c>
      <c r="C3" s="15" t="s">
        <v>104</v>
      </c>
      <c r="D3" s="15" t="s">
        <v>105</v>
      </c>
      <c r="E3" s="15" t="s">
        <v>106</v>
      </c>
      <c r="F3" s="14" t="s">
        <v>107</v>
      </c>
      <c r="G3" s="15" t="s">
        <v>108</v>
      </c>
      <c r="H3" s="14" t="s">
        <v>109</v>
      </c>
      <c r="I3" s="15" t="s">
        <v>110</v>
      </c>
      <c r="J3" s="15" t="s">
        <v>111</v>
      </c>
    </row>
    <row r="4" spans="1:10" ht="22.05" customHeight="1" x14ac:dyDescent="0.45">
      <c r="A4" s="39" t="str">
        <f>IF(OR('Ground Schedule'!A5="",'Ground Schedule'!F5=""),"",'Ground Schedule'!A5)</f>
        <v/>
      </c>
      <c r="B4" s="29" t="str">
        <f>IF(A4="","",'Ground Schedule'!C5)</f>
        <v/>
      </c>
      <c r="C4" s="29" t="str">
        <f>IF(A4="","",'Ground Schedule'!F$4)</f>
        <v/>
      </c>
      <c r="D4" s="29" t="str">
        <f>IF(A4="","",'Ground Schedule'!F5)</f>
        <v/>
      </c>
      <c r="E4" s="29" t="str">
        <f t="shared" ref="E4:E67" si="0">IFERROR(TRIM(LEFT(D4,SEARCH(" vs ",D4)-1)),"")</f>
        <v/>
      </c>
      <c r="F4" s="40"/>
      <c r="G4" s="29" t="str">
        <f t="shared" ref="G4:G67" si="1">IFERROR(TRIM(MID(D4,SEARCH(" vs ",D4)+4,LEN(D4))),"")</f>
        <v/>
      </c>
      <c r="H4" s="40"/>
      <c r="I4" s="29" t="str">
        <f t="shared" ref="I4:I67" si="2">IF(OR(E4="",G4=""),"",IF(AND(F4="Paid",H4="Paid"),"Both Paid",IF(AND(OR(F4="Pending",F4=""),OR(H4="Pending",H4="")),"Both Pending",IF(AND(F4="Not Applicable",H4="Not Applicable"),"Not Applicable",IF(OR(F4="Paid",H4="Paid"),"Partially Paid","Pending")))))</f>
        <v/>
      </c>
      <c r="J4" s="29"/>
    </row>
    <row r="5" spans="1:10" ht="22.05" customHeight="1" x14ac:dyDescent="0.45">
      <c r="A5" s="39" t="str">
        <f>IF(OR('Ground Schedule'!A5="",'Ground Schedule'!G5=""),"",'Ground Schedule'!A5)</f>
        <v/>
      </c>
      <c r="B5" s="29" t="str">
        <f>IF(A5="","",'Ground Schedule'!C5)</f>
        <v/>
      </c>
      <c r="C5" s="29" t="str">
        <f>IF(A5="","",'Ground Schedule'!G$4)</f>
        <v/>
      </c>
      <c r="D5" s="29" t="str">
        <f>IF(A5="","",'Ground Schedule'!G5)</f>
        <v/>
      </c>
      <c r="E5" s="29" t="str">
        <f t="shared" si="0"/>
        <v/>
      </c>
      <c r="F5" s="40"/>
      <c r="G5" s="29" t="str">
        <f t="shared" si="1"/>
        <v/>
      </c>
      <c r="H5" s="40"/>
      <c r="I5" s="29" t="str">
        <f t="shared" si="2"/>
        <v/>
      </c>
      <c r="J5" s="29"/>
    </row>
    <row r="6" spans="1:10" ht="22.05" customHeight="1" x14ac:dyDescent="0.45">
      <c r="A6" s="39" t="str">
        <f>IF(OR('Ground Schedule'!A5="",'Ground Schedule'!H5=""),"",'Ground Schedule'!A5)</f>
        <v/>
      </c>
      <c r="B6" s="29" t="str">
        <f>IF(A6="","",'Ground Schedule'!C5)</f>
        <v/>
      </c>
      <c r="C6" s="29" t="str">
        <f>IF(A6="","",'Ground Schedule'!H$4)</f>
        <v/>
      </c>
      <c r="D6" s="29" t="str">
        <f>IF(A6="","",'Ground Schedule'!H5)</f>
        <v/>
      </c>
      <c r="E6" s="29" t="str">
        <f t="shared" si="0"/>
        <v/>
      </c>
      <c r="F6" s="40"/>
      <c r="G6" s="29" t="str">
        <f t="shared" si="1"/>
        <v/>
      </c>
      <c r="H6" s="40"/>
      <c r="I6" s="29" t="str">
        <f t="shared" si="2"/>
        <v/>
      </c>
      <c r="J6" s="29"/>
    </row>
    <row r="7" spans="1:10" ht="22.05" customHeight="1" x14ac:dyDescent="0.45">
      <c r="A7" s="39" t="str">
        <f>IF(OR('Ground Schedule'!A5="",'Ground Schedule'!I5=""),"",'Ground Schedule'!A5)</f>
        <v/>
      </c>
      <c r="B7" s="29" t="str">
        <f>IF(A7="","",'Ground Schedule'!C5)</f>
        <v/>
      </c>
      <c r="C7" s="29" t="str">
        <f>IF(A7="","",'Ground Schedule'!I$4)</f>
        <v/>
      </c>
      <c r="D7" s="29" t="str">
        <f>IF(A7="","",'Ground Schedule'!I5)</f>
        <v/>
      </c>
      <c r="E7" s="29" t="str">
        <f t="shared" si="0"/>
        <v/>
      </c>
      <c r="F7" s="40"/>
      <c r="G7" s="29" t="str">
        <f t="shared" si="1"/>
        <v/>
      </c>
      <c r="H7" s="40"/>
      <c r="I7" s="29" t="str">
        <f t="shared" si="2"/>
        <v/>
      </c>
      <c r="J7" s="29"/>
    </row>
    <row r="8" spans="1:10" ht="22.05" customHeight="1" x14ac:dyDescent="0.45">
      <c r="A8" s="39" t="str">
        <f>IF(OR('Ground Schedule'!A5="",'Ground Schedule'!J5=""),"",'Ground Schedule'!A5)</f>
        <v/>
      </c>
      <c r="B8" s="29" t="str">
        <f>IF(A8="","",'Ground Schedule'!C5)</f>
        <v/>
      </c>
      <c r="C8" s="29" t="str">
        <f>IF(A8="","",'Ground Schedule'!J$4)</f>
        <v/>
      </c>
      <c r="D8" s="29" t="str">
        <f>IF(A8="","",'Ground Schedule'!J5)</f>
        <v/>
      </c>
      <c r="E8" s="29" t="str">
        <f t="shared" si="0"/>
        <v/>
      </c>
      <c r="F8" s="40"/>
      <c r="G8" s="29" t="str">
        <f t="shared" si="1"/>
        <v/>
      </c>
      <c r="H8" s="40"/>
      <c r="I8" s="29" t="str">
        <f t="shared" si="2"/>
        <v/>
      </c>
      <c r="J8" s="29"/>
    </row>
    <row r="9" spans="1:10" ht="22.05" customHeight="1" x14ac:dyDescent="0.45">
      <c r="A9" s="39" t="str">
        <f>IF(OR('Ground Schedule'!A6="",'Ground Schedule'!F6=""),"",'Ground Schedule'!A6)</f>
        <v/>
      </c>
      <c r="B9" s="29" t="str">
        <f>IF(A9="","",'Ground Schedule'!C6)</f>
        <v/>
      </c>
      <c r="C9" s="29" t="str">
        <f>IF(A9="","",'Ground Schedule'!F$4)</f>
        <v/>
      </c>
      <c r="D9" s="29" t="str">
        <f>IF(A9="","",'Ground Schedule'!F6)</f>
        <v/>
      </c>
      <c r="E9" s="29" t="str">
        <f t="shared" si="0"/>
        <v/>
      </c>
      <c r="F9" s="40"/>
      <c r="G9" s="29" t="str">
        <f t="shared" si="1"/>
        <v/>
      </c>
      <c r="H9" s="40"/>
      <c r="I9" s="29" t="str">
        <f t="shared" si="2"/>
        <v/>
      </c>
      <c r="J9" s="29"/>
    </row>
    <row r="10" spans="1:10" ht="22.05" customHeight="1" x14ac:dyDescent="0.45">
      <c r="A10" s="39">
        <f>IF(OR('Ground Schedule'!A6="",'Ground Schedule'!G6=""),"",'Ground Schedule'!A6)</f>
        <v>46298</v>
      </c>
      <c r="B10" s="29" t="str">
        <f>IF(A10="","",'Ground Schedule'!C6)</f>
        <v>MCG Ground</v>
      </c>
      <c r="C10" s="29" t="str">
        <f>IF(A10="","",'Ground Schedule'!G$4)</f>
        <v>10:30 AM Slot</v>
      </c>
      <c r="D10" s="29" t="str">
        <f>IF(A10="","",'Ground Schedule'!G6)</f>
        <v>Ktown Night Riders vs Western Warriors</v>
      </c>
      <c r="E10" s="29" t="str">
        <f t="shared" si="0"/>
        <v>Ktown Night Riders</v>
      </c>
      <c r="F10" s="40"/>
      <c r="G10" s="29" t="str">
        <f t="shared" si="1"/>
        <v>Western Warriors</v>
      </c>
      <c r="H10" s="40"/>
      <c r="I10" s="29" t="str">
        <f t="shared" si="2"/>
        <v>Both Pending</v>
      </c>
      <c r="J10" s="29"/>
    </row>
    <row r="11" spans="1:10" ht="22.05" customHeight="1" x14ac:dyDescent="0.45">
      <c r="A11" s="39" t="str">
        <f>IF(OR('Ground Schedule'!A6="",'Ground Schedule'!H6=""),"",'Ground Schedule'!A6)</f>
        <v/>
      </c>
      <c r="B11" s="29" t="str">
        <f>IF(A11="","",'Ground Schedule'!C6)</f>
        <v/>
      </c>
      <c r="C11" s="29" t="str">
        <f>IF(A11="","",'Ground Schedule'!H$4)</f>
        <v/>
      </c>
      <c r="D11" s="29" t="str">
        <f>IF(A11="","",'Ground Schedule'!H6)</f>
        <v/>
      </c>
      <c r="E11" s="29" t="str">
        <f t="shared" si="0"/>
        <v/>
      </c>
      <c r="F11" s="40"/>
      <c r="G11" s="29" t="str">
        <f t="shared" si="1"/>
        <v/>
      </c>
      <c r="H11" s="40"/>
      <c r="I11" s="29" t="str">
        <f t="shared" si="2"/>
        <v/>
      </c>
      <c r="J11" s="29"/>
    </row>
    <row r="12" spans="1:10" ht="22.05" customHeight="1" x14ac:dyDescent="0.45">
      <c r="A12" s="39" t="str">
        <f>IF(OR('Ground Schedule'!A6="",'Ground Schedule'!I6=""),"",'Ground Schedule'!A6)</f>
        <v/>
      </c>
      <c r="B12" s="29" t="str">
        <f>IF(A12="","",'Ground Schedule'!C6)</f>
        <v/>
      </c>
      <c r="C12" s="29" t="str">
        <f>IF(A12="","",'Ground Schedule'!I$4)</f>
        <v/>
      </c>
      <c r="D12" s="29" t="str">
        <f>IF(A12="","",'Ground Schedule'!I6)</f>
        <v/>
      </c>
      <c r="E12" s="29" t="str">
        <f t="shared" si="0"/>
        <v/>
      </c>
      <c r="F12" s="40"/>
      <c r="G12" s="29" t="str">
        <f t="shared" si="1"/>
        <v/>
      </c>
      <c r="H12" s="40"/>
      <c r="I12" s="29" t="str">
        <f t="shared" si="2"/>
        <v/>
      </c>
      <c r="J12" s="29"/>
    </row>
    <row r="13" spans="1:10" ht="22.05" customHeight="1" x14ac:dyDescent="0.45">
      <c r="A13" s="39" t="str">
        <f>IF(OR('Ground Schedule'!A6="",'Ground Schedule'!J6=""),"",'Ground Schedule'!A6)</f>
        <v/>
      </c>
      <c r="B13" s="29" t="str">
        <f>IF(A13="","",'Ground Schedule'!C6)</f>
        <v/>
      </c>
      <c r="C13" s="29" t="str">
        <f>IF(A13="","",'Ground Schedule'!J$4)</f>
        <v/>
      </c>
      <c r="D13" s="29" t="str">
        <f>IF(A13="","",'Ground Schedule'!J6)</f>
        <v/>
      </c>
      <c r="E13" s="29" t="str">
        <f t="shared" si="0"/>
        <v/>
      </c>
      <c r="F13" s="40"/>
      <c r="G13" s="29" t="str">
        <f t="shared" si="1"/>
        <v/>
      </c>
      <c r="H13" s="40"/>
      <c r="I13" s="29" t="str">
        <f t="shared" si="2"/>
        <v/>
      </c>
      <c r="J13" s="29"/>
    </row>
    <row r="14" spans="1:10" ht="22.05" customHeight="1" x14ac:dyDescent="0.45">
      <c r="A14" s="39" t="str">
        <f>IF(OR('Ground Schedule'!A7="",'Ground Schedule'!F7=""),"",'Ground Schedule'!A7)</f>
        <v/>
      </c>
      <c r="B14" s="29" t="str">
        <f>IF(A14="","",'Ground Schedule'!C7)</f>
        <v/>
      </c>
      <c r="C14" s="29" t="str">
        <f>IF(A14="","",'Ground Schedule'!F$4)</f>
        <v/>
      </c>
      <c r="D14" s="29" t="str">
        <f>IF(A14="","",'Ground Schedule'!F7)</f>
        <v/>
      </c>
      <c r="E14" s="29" t="str">
        <f t="shared" si="0"/>
        <v/>
      </c>
      <c r="F14" s="40"/>
      <c r="G14" s="29" t="str">
        <f t="shared" si="1"/>
        <v/>
      </c>
      <c r="H14" s="40"/>
      <c r="I14" s="29" t="str">
        <f t="shared" si="2"/>
        <v/>
      </c>
      <c r="J14" s="29"/>
    </row>
    <row r="15" spans="1:10" ht="22.05" customHeight="1" x14ac:dyDescent="0.45">
      <c r="A15" s="39">
        <f>IF(OR('Ground Schedule'!A7="",'Ground Schedule'!G7=""),"",'Ground Schedule'!A7)</f>
        <v>46298</v>
      </c>
      <c r="B15" s="29" t="str">
        <f>IF(A15="","",'Ground Schedule'!C7)</f>
        <v>Lords of Maval</v>
      </c>
      <c r="C15" s="29" t="str">
        <f>IF(A15="","",'Ground Schedule'!G$4)</f>
        <v>10:30 AM Slot</v>
      </c>
      <c r="D15" s="29" t="str">
        <f>IF(A15="","",'Ground Schedule'!G7)</f>
        <v>Team Aristo vs Scoring Swords</v>
      </c>
      <c r="E15" s="29" t="str">
        <f t="shared" si="0"/>
        <v>Team Aristo</v>
      </c>
      <c r="F15" s="40"/>
      <c r="G15" s="29" t="str">
        <f t="shared" si="1"/>
        <v>Scoring Swords</v>
      </c>
      <c r="H15" s="40"/>
      <c r="I15" s="29" t="str">
        <f t="shared" si="2"/>
        <v>Both Pending</v>
      </c>
      <c r="J15" s="29"/>
    </row>
    <row r="16" spans="1:10" ht="22.05" customHeight="1" x14ac:dyDescent="0.45">
      <c r="A16" s="39" t="str">
        <f>IF(OR('Ground Schedule'!A7="",'Ground Schedule'!H7=""),"",'Ground Schedule'!A7)</f>
        <v/>
      </c>
      <c r="B16" s="29" t="str">
        <f>IF(A16="","",'Ground Schedule'!C7)</f>
        <v/>
      </c>
      <c r="C16" s="29" t="str">
        <f>IF(A16="","",'Ground Schedule'!H$4)</f>
        <v/>
      </c>
      <c r="D16" s="29" t="str">
        <f>IF(A16="","",'Ground Schedule'!H7)</f>
        <v/>
      </c>
      <c r="E16" s="29" t="str">
        <f t="shared" si="0"/>
        <v/>
      </c>
      <c r="F16" s="40"/>
      <c r="G16" s="29" t="str">
        <f t="shared" si="1"/>
        <v/>
      </c>
      <c r="H16" s="40"/>
      <c r="I16" s="29" t="str">
        <f t="shared" si="2"/>
        <v/>
      </c>
      <c r="J16" s="29"/>
    </row>
    <row r="17" spans="1:10" ht="22.05" customHeight="1" x14ac:dyDescent="0.45">
      <c r="A17" s="39">
        <f>IF(OR('Ground Schedule'!A7="",'Ground Schedule'!I7=""),"",'Ground Schedule'!A7)</f>
        <v>46298</v>
      </c>
      <c r="B17" s="29" t="str">
        <f>IF(A17="","",'Ground Schedule'!C7)</f>
        <v>Lords of Maval</v>
      </c>
      <c r="C17" s="29" t="str">
        <f>IF(A17="","",'Ground Schedule'!I$4)</f>
        <v>02:00 PM Slot</v>
      </c>
      <c r="D17" s="29" t="str">
        <f>IF(A17="","",'Ground Schedule'!I7)</f>
        <v>Hitman Sports vs Boundaryline</v>
      </c>
      <c r="E17" s="29" t="str">
        <f t="shared" si="0"/>
        <v>Hitman Sports</v>
      </c>
      <c r="F17" s="40"/>
      <c r="G17" s="29" t="str">
        <f t="shared" si="1"/>
        <v>Boundaryline</v>
      </c>
      <c r="H17" s="40"/>
      <c r="I17" s="29" t="str">
        <f t="shared" si="2"/>
        <v>Both Pending</v>
      </c>
      <c r="J17" s="29"/>
    </row>
    <row r="18" spans="1:10" ht="22.05" customHeight="1" x14ac:dyDescent="0.45">
      <c r="A18" s="39" t="str">
        <f>IF(OR('Ground Schedule'!A7="",'Ground Schedule'!J7=""),"",'Ground Schedule'!A7)</f>
        <v/>
      </c>
      <c r="B18" s="29" t="str">
        <f>IF(A18="","",'Ground Schedule'!C7)</f>
        <v/>
      </c>
      <c r="C18" s="29" t="str">
        <f>IF(A18="","",'Ground Schedule'!J$4)</f>
        <v/>
      </c>
      <c r="D18" s="29" t="str">
        <f>IF(A18="","",'Ground Schedule'!J7)</f>
        <v/>
      </c>
      <c r="E18" s="29" t="str">
        <f t="shared" si="0"/>
        <v/>
      </c>
      <c r="F18" s="40"/>
      <c r="G18" s="29" t="str">
        <f t="shared" si="1"/>
        <v/>
      </c>
      <c r="H18" s="40"/>
      <c r="I18" s="29" t="str">
        <f t="shared" si="2"/>
        <v/>
      </c>
      <c r="J18" s="29"/>
    </row>
    <row r="19" spans="1:10" ht="22.05" customHeight="1" x14ac:dyDescent="0.45">
      <c r="A19" s="39" t="str">
        <f>IF(OR('Ground Schedule'!A8="",'Ground Schedule'!F8=""),"",'Ground Schedule'!A8)</f>
        <v/>
      </c>
      <c r="B19" s="29" t="str">
        <f>IF(A19="","",'Ground Schedule'!C8)</f>
        <v/>
      </c>
      <c r="C19" s="29" t="str">
        <f>IF(A19="","",'Ground Schedule'!F$4)</f>
        <v/>
      </c>
      <c r="D19" s="29" t="str">
        <f>IF(A19="","",'Ground Schedule'!F8)</f>
        <v/>
      </c>
      <c r="E19" s="29" t="str">
        <f t="shared" si="0"/>
        <v/>
      </c>
      <c r="F19" s="40"/>
      <c r="G19" s="29" t="str">
        <f t="shared" si="1"/>
        <v/>
      </c>
      <c r="H19" s="40"/>
      <c r="I19" s="29" t="str">
        <f t="shared" si="2"/>
        <v/>
      </c>
      <c r="J19" s="29"/>
    </row>
    <row r="20" spans="1:10" ht="22.05" customHeight="1" x14ac:dyDescent="0.45">
      <c r="A20" s="39" t="str">
        <f>IF(OR('Ground Schedule'!A8="",'Ground Schedule'!G8=""),"",'Ground Schedule'!A8)</f>
        <v/>
      </c>
      <c r="B20" s="29" t="str">
        <f>IF(A20="","",'Ground Schedule'!C8)</f>
        <v/>
      </c>
      <c r="C20" s="29" t="str">
        <f>IF(A20="","",'Ground Schedule'!G$4)</f>
        <v/>
      </c>
      <c r="D20" s="29" t="str">
        <f>IF(A20="","",'Ground Schedule'!G8)</f>
        <v/>
      </c>
      <c r="E20" s="29" t="str">
        <f t="shared" si="0"/>
        <v/>
      </c>
      <c r="F20" s="40"/>
      <c r="G20" s="29" t="str">
        <f t="shared" si="1"/>
        <v/>
      </c>
      <c r="H20" s="40"/>
      <c r="I20" s="29" t="str">
        <f t="shared" si="2"/>
        <v/>
      </c>
      <c r="J20" s="29"/>
    </row>
    <row r="21" spans="1:10" ht="22.05" customHeight="1" x14ac:dyDescent="0.45">
      <c r="A21" s="39" t="str">
        <f>IF(OR('Ground Schedule'!A8="",'Ground Schedule'!H8=""),"",'Ground Schedule'!A8)</f>
        <v/>
      </c>
      <c r="B21" s="29" t="str">
        <f>IF(A21="","",'Ground Schedule'!C8)</f>
        <v/>
      </c>
      <c r="C21" s="29" t="str">
        <f>IF(A21="","",'Ground Schedule'!H$4)</f>
        <v/>
      </c>
      <c r="D21" s="29" t="str">
        <f>IF(A21="","",'Ground Schedule'!H8)</f>
        <v/>
      </c>
      <c r="E21" s="29" t="str">
        <f t="shared" si="0"/>
        <v/>
      </c>
      <c r="F21" s="40"/>
      <c r="G21" s="29" t="str">
        <f t="shared" si="1"/>
        <v/>
      </c>
      <c r="H21" s="40"/>
      <c r="I21" s="29" t="str">
        <f t="shared" si="2"/>
        <v/>
      </c>
      <c r="J21" s="29"/>
    </row>
    <row r="22" spans="1:10" ht="22.05" customHeight="1" x14ac:dyDescent="0.45">
      <c r="A22" s="39" t="str">
        <f>IF(OR('Ground Schedule'!A8="",'Ground Schedule'!I8=""),"",'Ground Schedule'!A8)</f>
        <v/>
      </c>
      <c r="B22" s="29" t="str">
        <f>IF(A22="","",'Ground Schedule'!C8)</f>
        <v/>
      </c>
      <c r="C22" s="29" t="str">
        <f>IF(A22="","",'Ground Schedule'!I$4)</f>
        <v/>
      </c>
      <c r="D22" s="29" t="str">
        <f>IF(A22="","",'Ground Schedule'!I8)</f>
        <v/>
      </c>
      <c r="E22" s="29" t="str">
        <f t="shared" si="0"/>
        <v/>
      </c>
      <c r="F22" s="40"/>
      <c r="G22" s="29" t="str">
        <f t="shared" si="1"/>
        <v/>
      </c>
      <c r="H22" s="40"/>
      <c r="I22" s="29" t="str">
        <f t="shared" si="2"/>
        <v/>
      </c>
      <c r="J22" s="29"/>
    </row>
    <row r="23" spans="1:10" ht="22.05" customHeight="1" x14ac:dyDescent="0.45">
      <c r="A23" s="39" t="str">
        <f>IF(OR('Ground Schedule'!A8="",'Ground Schedule'!J8=""),"",'Ground Schedule'!A8)</f>
        <v/>
      </c>
      <c r="B23" s="29" t="str">
        <f>IF(A23="","",'Ground Schedule'!C8)</f>
        <v/>
      </c>
      <c r="C23" s="29" t="str">
        <f>IF(A23="","",'Ground Schedule'!J$4)</f>
        <v/>
      </c>
      <c r="D23" s="29" t="str">
        <f>IF(A23="","",'Ground Schedule'!J8)</f>
        <v/>
      </c>
      <c r="E23" s="29" t="str">
        <f t="shared" si="0"/>
        <v/>
      </c>
      <c r="F23" s="40"/>
      <c r="G23" s="29" t="str">
        <f t="shared" si="1"/>
        <v/>
      </c>
      <c r="H23" s="40"/>
      <c r="I23" s="29" t="str">
        <f t="shared" si="2"/>
        <v/>
      </c>
      <c r="J23" s="29"/>
    </row>
    <row r="24" spans="1:10" ht="22.05" customHeight="1" x14ac:dyDescent="0.45">
      <c r="A24" s="39" t="str">
        <f>IF(OR('Ground Schedule'!A9="",'Ground Schedule'!F9=""),"",'Ground Schedule'!A9)</f>
        <v/>
      </c>
      <c r="B24" s="29" t="str">
        <f>IF(A24="","",'Ground Schedule'!C9)</f>
        <v/>
      </c>
      <c r="C24" s="29" t="str">
        <f>IF(A24="","",'Ground Schedule'!F$4)</f>
        <v/>
      </c>
      <c r="D24" s="29" t="str">
        <f>IF(A24="","",'Ground Schedule'!F9)</f>
        <v/>
      </c>
      <c r="E24" s="29" t="str">
        <f t="shared" si="0"/>
        <v/>
      </c>
      <c r="F24" s="40"/>
      <c r="G24" s="29" t="str">
        <f t="shared" si="1"/>
        <v/>
      </c>
      <c r="H24" s="40"/>
      <c r="I24" s="29" t="str">
        <f t="shared" si="2"/>
        <v/>
      </c>
      <c r="J24" s="29"/>
    </row>
    <row r="25" spans="1:10" ht="22.05" customHeight="1" x14ac:dyDescent="0.45">
      <c r="A25" s="39">
        <f>IF(OR('Ground Schedule'!A9="",'Ground Schedule'!G9=""),"",'Ground Schedule'!A9)</f>
        <v>46299</v>
      </c>
      <c r="B25" s="29" t="str">
        <f>IF(A25="","",'Ground Schedule'!C9)</f>
        <v>Lords of Maval</v>
      </c>
      <c r="C25" s="29" t="str">
        <f>IF(A25="","",'Ground Schedule'!G$4)</f>
        <v>10:30 AM Slot</v>
      </c>
      <c r="D25" s="29" t="str">
        <f>IF(A25="","",'Ground Schedule'!G9)</f>
        <v>Titan Wolves vs Royal Strikers</v>
      </c>
      <c r="E25" s="29" t="str">
        <f t="shared" si="0"/>
        <v>Titan Wolves</v>
      </c>
      <c r="F25" s="40"/>
      <c r="G25" s="29" t="str">
        <f t="shared" si="1"/>
        <v>Royal Strikers</v>
      </c>
      <c r="H25" s="40"/>
      <c r="I25" s="29" t="str">
        <f t="shared" si="2"/>
        <v>Both Pending</v>
      </c>
      <c r="J25" s="29"/>
    </row>
    <row r="26" spans="1:10" ht="22.05" customHeight="1" x14ac:dyDescent="0.45">
      <c r="A26" s="39" t="str">
        <f>IF(OR('Ground Schedule'!A9="",'Ground Schedule'!H9=""),"",'Ground Schedule'!A9)</f>
        <v/>
      </c>
      <c r="B26" s="29" t="str">
        <f>IF(A26="","",'Ground Schedule'!C9)</f>
        <v/>
      </c>
      <c r="C26" s="29" t="str">
        <f>IF(A26="","",'Ground Schedule'!H$4)</f>
        <v/>
      </c>
      <c r="D26" s="29" t="str">
        <f>IF(A26="","",'Ground Schedule'!H9)</f>
        <v/>
      </c>
      <c r="E26" s="29" t="str">
        <f t="shared" si="0"/>
        <v/>
      </c>
      <c r="F26" s="40"/>
      <c r="G26" s="29" t="str">
        <f t="shared" si="1"/>
        <v/>
      </c>
      <c r="H26" s="40"/>
      <c r="I26" s="29" t="str">
        <f t="shared" si="2"/>
        <v/>
      </c>
      <c r="J26" s="29"/>
    </row>
    <row r="27" spans="1:10" ht="22.05" customHeight="1" x14ac:dyDescent="0.45">
      <c r="A27" s="39">
        <f>IF(OR('Ground Schedule'!A9="",'Ground Schedule'!I9=""),"",'Ground Schedule'!A9)</f>
        <v>46299</v>
      </c>
      <c r="B27" s="29" t="str">
        <f>IF(A27="","",'Ground Schedule'!C9)</f>
        <v>Lords of Maval</v>
      </c>
      <c r="C27" s="29" t="str">
        <f>IF(A27="","",'Ground Schedule'!I$4)</f>
        <v>02:00 PM Slot</v>
      </c>
      <c r="D27" s="29" t="str">
        <f>IF(A27="","",'Ground Schedule'!I9)</f>
        <v>Practice Match</v>
      </c>
      <c r="E27" s="29" t="str">
        <f t="shared" si="0"/>
        <v/>
      </c>
      <c r="F27" s="40"/>
      <c r="G27" s="29" t="str">
        <f t="shared" si="1"/>
        <v/>
      </c>
      <c r="H27" s="40"/>
      <c r="I27" s="29" t="str">
        <f t="shared" si="2"/>
        <v/>
      </c>
      <c r="J27" s="29"/>
    </row>
    <row r="28" spans="1:10" ht="22.05" customHeight="1" x14ac:dyDescent="0.45">
      <c r="A28" s="39" t="str">
        <f>IF(OR('Ground Schedule'!A9="",'Ground Schedule'!J9=""),"",'Ground Schedule'!A9)</f>
        <v/>
      </c>
      <c r="B28" s="29" t="str">
        <f>IF(A28="","",'Ground Schedule'!C9)</f>
        <v/>
      </c>
      <c r="C28" s="29" t="str">
        <f>IF(A28="","",'Ground Schedule'!J$4)</f>
        <v/>
      </c>
      <c r="D28" s="29" t="str">
        <f>IF(A28="","",'Ground Schedule'!J9)</f>
        <v/>
      </c>
      <c r="E28" s="29" t="str">
        <f t="shared" si="0"/>
        <v/>
      </c>
      <c r="F28" s="40"/>
      <c r="G28" s="29" t="str">
        <f t="shared" si="1"/>
        <v/>
      </c>
      <c r="H28" s="40"/>
      <c r="I28" s="29" t="str">
        <f t="shared" si="2"/>
        <v/>
      </c>
      <c r="J28" s="29"/>
    </row>
    <row r="29" spans="1:10" ht="22.05" customHeight="1" x14ac:dyDescent="0.45">
      <c r="A29" s="39" t="str">
        <f>IF(OR('Ground Schedule'!A10="",'Ground Schedule'!F10=""),"",'Ground Schedule'!A10)</f>
        <v/>
      </c>
      <c r="B29" s="29" t="str">
        <f>IF(A29="","",'Ground Schedule'!C10)</f>
        <v/>
      </c>
      <c r="C29" s="29" t="str">
        <f>IF(A29="","",'Ground Schedule'!F$4)</f>
        <v/>
      </c>
      <c r="D29" s="29" t="str">
        <f>IF(A29="","",'Ground Schedule'!F10)</f>
        <v/>
      </c>
      <c r="E29" s="29" t="str">
        <f t="shared" si="0"/>
        <v/>
      </c>
      <c r="F29" s="40"/>
      <c r="G29" s="29" t="str">
        <f t="shared" si="1"/>
        <v/>
      </c>
      <c r="H29" s="40"/>
      <c r="I29" s="29" t="str">
        <f t="shared" si="2"/>
        <v/>
      </c>
      <c r="J29" s="29"/>
    </row>
    <row r="30" spans="1:10" ht="22.05" customHeight="1" x14ac:dyDescent="0.45">
      <c r="A30" s="39">
        <f>IF(OR('Ground Schedule'!A10="",'Ground Schedule'!G10=""),"",'Ground Schedule'!A10)</f>
        <v>46305</v>
      </c>
      <c r="B30" s="29" t="str">
        <f>IF(A30="","",'Ground Schedule'!C10)</f>
        <v>AK Club DY Patil Ground</v>
      </c>
      <c r="C30" s="29" t="str">
        <f>IF(A30="","",'Ground Schedule'!G$4)</f>
        <v>10:30 AM Slot</v>
      </c>
      <c r="D30" s="29" t="str">
        <f>IF(A30="","",'Ground Schedule'!G10)</f>
        <v>Phoenix Risers vs Overtime Hitters</v>
      </c>
      <c r="E30" s="29" t="str">
        <f t="shared" si="0"/>
        <v>Phoenix Risers</v>
      </c>
      <c r="F30" s="40"/>
      <c r="G30" s="29" t="str">
        <f t="shared" si="1"/>
        <v>Overtime Hitters</v>
      </c>
      <c r="H30" s="40"/>
      <c r="I30" s="29" t="str">
        <f t="shared" si="2"/>
        <v>Both Pending</v>
      </c>
      <c r="J30" s="29"/>
    </row>
    <row r="31" spans="1:10" ht="22.05" customHeight="1" x14ac:dyDescent="0.45">
      <c r="A31" s="39" t="str">
        <f>IF(OR('Ground Schedule'!A10="",'Ground Schedule'!H10=""),"",'Ground Schedule'!A10)</f>
        <v/>
      </c>
      <c r="B31" s="29" t="str">
        <f>IF(A31="","",'Ground Schedule'!C10)</f>
        <v/>
      </c>
      <c r="C31" s="29" t="str">
        <f>IF(A31="","",'Ground Schedule'!H$4)</f>
        <v/>
      </c>
      <c r="D31" s="29" t="str">
        <f>IF(A31="","",'Ground Schedule'!H10)</f>
        <v/>
      </c>
      <c r="E31" s="29" t="str">
        <f t="shared" si="0"/>
        <v/>
      </c>
      <c r="F31" s="40"/>
      <c r="G31" s="29" t="str">
        <f t="shared" si="1"/>
        <v/>
      </c>
      <c r="H31" s="40"/>
      <c r="I31" s="29" t="str">
        <f t="shared" si="2"/>
        <v/>
      </c>
      <c r="J31" s="29"/>
    </row>
    <row r="32" spans="1:10" ht="22.05" customHeight="1" x14ac:dyDescent="0.45">
      <c r="A32" s="39">
        <f>IF(OR('Ground Schedule'!A10="",'Ground Schedule'!I10=""),"",'Ground Schedule'!A10)</f>
        <v>46305</v>
      </c>
      <c r="B32" s="29" t="str">
        <f>IF(A32="","",'Ground Schedule'!C10)</f>
        <v>AK Club DY Patil Ground</v>
      </c>
      <c r="C32" s="29" t="str">
        <f>IF(A32="","",'Ground Schedule'!I$4)</f>
        <v>02:00 PM Slot</v>
      </c>
      <c r="D32" s="29" t="str">
        <f>IF(A32="","",'Ground Schedule'!I10)</f>
        <v>Batboys vs Boundary Line</v>
      </c>
      <c r="E32" s="29" t="str">
        <f t="shared" si="0"/>
        <v>Batboys</v>
      </c>
      <c r="F32" s="40"/>
      <c r="G32" s="29" t="str">
        <f t="shared" si="1"/>
        <v>Boundary Line</v>
      </c>
      <c r="H32" s="40"/>
      <c r="I32" s="29" t="str">
        <f t="shared" si="2"/>
        <v>Both Pending</v>
      </c>
      <c r="J32" s="29"/>
    </row>
    <row r="33" spans="1:10" ht="22.05" customHeight="1" x14ac:dyDescent="0.45">
      <c r="A33" s="39" t="str">
        <f>IF(OR('Ground Schedule'!A10="",'Ground Schedule'!J10=""),"",'Ground Schedule'!A10)</f>
        <v/>
      </c>
      <c r="B33" s="29" t="str">
        <f>IF(A33="","",'Ground Schedule'!C10)</f>
        <v/>
      </c>
      <c r="C33" s="29" t="str">
        <f>IF(A33="","",'Ground Schedule'!J$4)</f>
        <v/>
      </c>
      <c r="D33" s="29" t="str">
        <f>IF(A33="","",'Ground Schedule'!J10)</f>
        <v/>
      </c>
      <c r="E33" s="29" t="str">
        <f t="shared" si="0"/>
        <v/>
      </c>
      <c r="F33" s="40"/>
      <c r="G33" s="29" t="str">
        <f t="shared" si="1"/>
        <v/>
      </c>
      <c r="H33" s="40"/>
      <c r="I33" s="29" t="str">
        <f t="shared" si="2"/>
        <v/>
      </c>
      <c r="J33" s="29"/>
    </row>
    <row r="34" spans="1:10" ht="22.05" customHeight="1" x14ac:dyDescent="0.45">
      <c r="A34" s="39" t="str">
        <f>IF(OR('Ground Schedule'!A11="",'Ground Schedule'!F11=""),"",'Ground Schedule'!A11)</f>
        <v/>
      </c>
      <c r="B34" s="29" t="str">
        <f>IF(A34="","",'Ground Schedule'!C11)</f>
        <v/>
      </c>
      <c r="C34" s="29" t="str">
        <f>IF(A34="","",'Ground Schedule'!F$4)</f>
        <v/>
      </c>
      <c r="D34" s="29" t="str">
        <f>IF(A34="","",'Ground Schedule'!F11)</f>
        <v/>
      </c>
      <c r="E34" s="29" t="str">
        <f t="shared" si="0"/>
        <v/>
      </c>
      <c r="F34" s="40"/>
      <c r="G34" s="29" t="str">
        <f t="shared" si="1"/>
        <v/>
      </c>
      <c r="H34" s="40"/>
      <c r="I34" s="29" t="str">
        <f t="shared" si="2"/>
        <v/>
      </c>
      <c r="J34" s="29"/>
    </row>
    <row r="35" spans="1:10" ht="22.05" customHeight="1" x14ac:dyDescent="0.45">
      <c r="A35" s="39">
        <f>IF(OR('Ground Schedule'!A11="",'Ground Schedule'!G11=""),"",'Ground Schedule'!A11)</f>
        <v>46305</v>
      </c>
      <c r="B35" s="29" t="str">
        <f>IF(A35="","",'Ground Schedule'!C11)</f>
        <v>MCG Ground</v>
      </c>
      <c r="C35" s="29" t="str">
        <f>IF(A35="","",'Ground Schedule'!G$4)</f>
        <v>10:30 AM Slot</v>
      </c>
      <c r="D35" s="29" t="str">
        <f>IF(A35="","",'Ground Schedule'!G11)</f>
        <v>Bharam 11 vs Scoring Swords</v>
      </c>
      <c r="E35" s="29" t="str">
        <f t="shared" si="0"/>
        <v>Bharam 11</v>
      </c>
      <c r="F35" s="40"/>
      <c r="G35" s="29" t="str">
        <f t="shared" si="1"/>
        <v>Scoring Swords</v>
      </c>
      <c r="H35" s="40"/>
      <c r="I35" s="29" t="str">
        <f t="shared" si="2"/>
        <v>Both Pending</v>
      </c>
      <c r="J35" s="29"/>
    </row>
    <row r="36" spans="1:10" ht="22.05" customHeight="1" x14ac:dyDescent="0.45">
      <c r="A36" s="39" t="str">
        <f>IF(OR('Ground Schedule'!A11="",'Ground Schedule'!H11=""),"",'Ground Schedule'!A11)</f>
        <v/>
      </c>
      <c r="B36" s="29" t="str">
        <f>IF(A36="","",'Ground Schedule'!C11)</f>
        <v/>
      </c>
      <c r="C36" s="29" t="str">
        <f>IF(A36="","",'Ground Schedule'!H$4)</f>
        <v/>
      </c>
      <c r="D36" s="29" t="str">
        <f>IF(A36="","",'Ground Schedule'!H11)</f>
        <v/>
      </c>
      <c r="E36" s="29" t="str">
        <f t="shared" si="0"/>
        <v/>
      </c>
      <c r="F36" s="40"/>
      <c r="G36" s="29" t="str">
        <f t="shared" si="1"/>
        <v/>
      </c>
      <c r="H36" s="40"/>
      <c r="I36" s="29" t="str">
        <f t="shared" si="2"/>
        <v/>
      </c>
      <c r="J36" s="29"/>
    </row>
    <row r="37" spans="1:10" ht="22.05" customHeight="1" x14ac:dyDescent="0.45">
      <c r="A37" s="39" t="str">
        <f>IF(OR('Ground Schedule'!A11="",'Ground Schedule'!I11=""),"",'Ground Schedule'!A11)</f>
        <v/>
      </c>
      <c r="B37" s="29" t="str">
        <f>IF(A37="","",'Ground Schedule'!C11)</f>
        <v/>
      </c>
      <c r="C37" s="29" t="str">
        <f>IF(A37="","",'Ground Schedule'!I$4)</f>
        <v/>
      </c>
      <c r="D37" s="29" t="str">
        <f>IF(A37="","",'Ground Schedule'!I11)</f>
        <v/>
      </c>
      <c r="E37" s="29" t="str">
        <f t="shared" si="0"/>
        <v/>
      </c>
      <c r="F37" s="40"/>
      <c r="G37" s="29" t="str">
        <f t="shared" si="1"/>
        <v/>
      </c>
      <c r="H37" s="40"/>
      <c r="I37" s="29" t="str">
        <f t="shared" si="2"/>
        <v/>
      </c>
      <c r="J37" s="29"/>
    </row>
    <row r="38" spans="1:10" ht="22.05" customHeight="1" x14ac:dyDescent="0.45">
      <c r="A38" s="39" t="str">
        <f>IF(OR('Ground Schedule'!A11="",'Ground Schedule'!J11=""),"",'Ground Schedule'!A11)</f>
        <v/>
      </c>
      <c r="B38" s="29" t="str">
        <f>IF(A38="","",'Ground Schedule'!C11)</f>
        <v/>
      </c>
      <c r="C38" s="29" t="str">
        <f>IF(A38="","",'Ground Schedule'!J$4)</f>
        <v/>
      </c>
      <c r="D38" s="29" t="str">
        <f>IF(A38="","",'Ground Schedule'!J11)</f>
        <v/>
      </c>
      <c r="E38" s="29" t="str">
        <f t="shared" si="0"/>
        <v/>
      </c>
      <c r="F38" s="40"/>
      <c r="G38" s="29" t="str">
        <f t="shared" si="1"/>
        <v/>
      </c>
      <c r="H38" s="40"/>
      <c r="I38" s="29" t="str">
        <f t="shared" si="2"/>
        <v/>
      </c>
      <c r="J38" s="29"/>
    </row>
    <row r="39" spans="1:10" ht="22.05" customHeight="1" x14ac:dyDescent="0.45">
      <c r="A39" s="39" t="str">
        <f>IF(OR('Ground Schedule'!A12="",'Ground Schedule'!F12=""),"",'Ground Schedule'!A12)</f>
        <v/>
      </c>
      <c r="B39" s="29" t="str">
        <f>IF(A39="","",'Ground Schedule'!C12)</f>
        <v/>
      </c>
      <c r="C39" s="29" t="str">
        <f>IF(A39="","",'Ground Schedule'!F$4)</f>
        <v/>
      </c>
      <c r="D39" s="29" t="str">
        <f>IF(A39="","",'Ground Schedule'!F12)</f>
        <v/>
      </c>
      <c r="E39" s="29" t="str">
        <f t="shared" si="0"/>
        <v/>
      </c>
      <c r="F39" s="40"/>
      <c r="G39" s="29" t="str">
        <f t="shared" si="1"/>
        <v/>
      </c>
      <c r="H39" s="40"/>
      <c r="I39" s="29" t="str">
        <f t="shared" si="2"/>
        <v/>
      </c>
      <c r="J39" s="29"/>
    </row>
    <row r="40" spans="1:10" ht="22.05" customHeight="1" x14ac:dyDescent="0.45">
      <c r="A40" s="39">
        <f>IF(OR('Ground Schedule'!A12="",'Ground Schedule'!G12=""),"",'Ground Schedule'!A12)</f>
        <v>46306</v>
      </c>
      <c r="B40" s="29" t="str">
        <f>IF(A40="","",'Ground Schedule'!C12)</f>
        <v>AK Club DY Patil Ground</v>
      </c>
      <c r="C40" s="29" t="str">
        <f>IF(A40="","",'Ground Schedule'!G$4)</f>
        <v>10:30 AM Slot</v>
      </c>
      <c r="D40" s="29" t="str">
        <f>IF(A40="","",'Ground Schedule'!G12)</f>
        <v>Decisive 11 vs Bravebulls</v>
      </c>
      <c r="E40" s="29" t="str">
        <f t="shared" si="0"/>
        <v>Decisive 11</v>
      </c>
      <c r="F40" s="40"/>
      <c r="G40" s="29" t="str">
        <f t="shared" si="1"/>
        <v>Bravebulls</v>
      </c>
      <c r="H40" s="40"/>
      <c r="I40" s="29" t="str">
        <f t="shared" si="2"/>
        <v>Both Pending</v>
      </c>
      <c r="J40" s="29"/>
    </row>
    <row r="41" spans="1:10" ht="22.05" customHeight="1" x14ac:dyDescent="0.45">
      <c r="A41" s="39" t="str">
        <f>IF(OR('Ground Schedule'!A12="",'Ground Schedule'!H12=""),"",'Ground Schedule'!A12)</f>
        <v/>
      </c>
      <c r="B41" s="29" t="str">
        <f>IF(A41="","",'Ground Schedule'!C12)</f>
        <v/>
      </c>
      <c r="C41" s="29" t="str">
        <f>IF(A41="","",'Ground Schedule'!H$4)</f>
        <v/>
      </c>
      <c r="D41" s="29" t="str">
        <f>IF(A41="","",'Ground Schedule'!H12)</f>
        <v/>
      </c>
      <c r="E41" s="29" t="str">
        <f t="shared" si="0"/>
        <v/>
      </c>
      <c r="F41" s="40"/>
      <c r="G41" s="29" t="str">
        <f t="shared" si="1"/>
        <v/>
      </c>
      <c r="H41" s="40"/>
      <c r="I41" s="29" t="str">
        <f t="shared" si="2"/>
        <v/>
      </c>
      <c r="J41" s="29"/>
    </row>
    <row r="42" spans="1:10" ht="22.05" customHeight="1" x14ac:dyDescent="0.45">
      <c r="A42" s="39">
        <f>IF(OR('Ground Schedule'!A12="",'Ground Schedule'!I12=""),"",'Ground Schedule'!A12)</f>
        <v>46306</v>
      </c>
      <c r="B42" s="29" t="str">
        <f>IF(A42="","",'Ground Schedule'!C12)</f>
        <v>AK Club DY Patil Ground</v>
      </c>
      <c r="C42" s="29" t="str">
        <f>IF(A42="","",'Ground Schedule'!I$4)</f>
        <v>02:00 PM Slot</v>
      </c>
      <c r="D42" s="29" t="str">
        <f>IF(A42="","",'Ground Schedule'!I12)</f>
        <v>Boundary Line vs Royals 11</v>
      </c>
      <c r="E42" s="29" t="str">
        <f t="shared" si="0"/>
        <v>Boundary Line</v>
      </c>
      <c r="F42" s="40"/>
      <c r="G42" s="29" t="str">
        <f t="shared" si="1"/>
        <v>Royals 11</v>
      </c>
      <c r="H42" s="40"/>
      <c r="I42" s="29" t="str">
        <f t="shared" si="2"/>
        <v>Both Pending</v>
      </c>
      <c r="J42" s="29"/>
    </row>
    <row r="43" spans="1:10" ht="22.05" customHeight="1" x14ac:dyDescent="0.45">
      <c r="A43" s="39" t="str">
        <f>IF(OR('Ground Schedule'!A12="",'Ground Schedule'!J12=""),"",'Ground Schedule'!A12)</f>
        <v/>
      </c>
      <c r="B43" s="29" t="str">
        <f>IF(A43="","",'Ground Schedule'!C12)</f>
        <v/>
      </c>
      <c r="C43" s="29" t="str">
        <f>IF(A43="","",'Ground Schedule'!J$4)</f>
        <v/>
      </c>
      <c r="D43" s="29" t="str">
        <f>IF(A43="","",'Ground Schedule'!J12)</f>
        <v/>
      </c>
      <c r="E43" s="29" t="str">
        <f t="shared" si="0"/>
        <v/>
      </c>
      <c r="F43" s="40"/>
      <c r="G43" s="29" t="str">
        <f t="shared" si="1"/>
        <v/>
      </c>
      <c r="H43" s="40"/>
      <c r="I43" s="29" t="str">
        <f t="shared" si="2"/>
        <v/>
      </c>
      <c r="J43" s="29"/>
    </row>
    <row r="44" spans="1:10" ht="22.05" customHeight="1" x14ac:dyDescent="0.45">
      <c r="A44" s="39" t="str">
        <f>IF(OR('Ground Schedule'!A13="",'Ground Schedule'!F13=""),"",'Ground Schedule'!A13)</f>
        <v/>
      </c>
      <c r="B44" s="29" t="str">
        <f>IF(A44="","",'Ground Schedule'!C13)</f>
        <v/>
      </c>
      <c r="C44" s="29" t="str">
        <f>IF(A44="","",'Ground Schedule'!F$4)</f>
        <v/>
      </c>
      <c r="D44" s="29" t="str">
        <f>IF(A44="","",'Ground Schedule'!F13)</f>
        <v/>
      </c>
      <c r="E44" s="29" t="str">
        <f t="shared" si="0"/>
        <v/>
      </c>
      <c r="F44" s="40"/>
      <c r="G44" s="29" t="str">
        <f t="shared" si="1"/>
        <v/>
      </c>
      <c r="H44" s="40"/>
      <c r="I44" s="29" t="str">
        <f t="shared" si="2"/>
        <v/>
      </c>
      <c r="J44" s="29"/>
    </row>
    <row r="45" spans="1:10" ht="22.05" customHeight="1" x14ac:dyDescent="0.45">
      <c r="A45" s="39">
        <f>IF(OR('Ground Schedule'!A13="",'Ground Schedule'!G13=""),"",'Ground Schedule'!A13)</f>
        <v>46306</v>
      </c>
      <c r="B45" s="29" t="str">
        <f>IF(A45="","",'Ground Schedule'!C13)</f>
        <v>MCG Ground</v>
      </c>
      <c r="C45" s="29" t="str">
        <f>IF(A45="","",'Ground Schedule'!G$4)</f>
        <v>10:30 AM Slot</v>
      </c>
      <c r="D45" s="29" t="str">
        <f>IF(A45="","",'Ground Schedule'!G13)</f>
        <v>Sangha vs University</v>
      </c>
      <c r="E45" s="29" t="str">
        <f t="shared" si="0"/>
        <v>Sangha</v>
      </c>
      <c r="F45" s="40"/>
      <c r="G45" s="29" t="str">
        <f t="shared" si="1"/>
        <v>University</v>
      </c>
      <c r="H45" s="40"/>
      <c r="I45" s="29" t="str">
        <f t="shared" si="2"/>
        <v>Both Pending</v>
      </c>
      <c r="J45" s="29"/>
    </row>
    <row r="46" spans="1:10" ht="22.05" customHeight="1" x14ac:dyDescent="0.45">
      <c r="A46" s="39" t="str">
        <f>IF(OR('Ground Schedule'!A13="",'Ground Schedule'!H13=""),"",'Ground Schedule'!A13)</f>
        <v/>
      </c>
      <c r="B46" s="29" t="str">
        <f>IF(A46="","",'Ground Schedule'!C13)</f>
        <v/>
      </c>
      <c r="C46" s="29" t="str">
        <f>IF(A46="","",'Ground Schedule'!H$4)</f>
        <v/>
      </c>
      <c r="D46" s="29" t="str">
        <f>IF(A46="","",'Ground Schedule'!H13)</f>
        <v/>
      </c>
      <c r="E46" s="29" t="str">
        <f t="shared" si="0"/>
        <v/>
      </c>
      <c r="F46" s="40"/>
      <c r="G46" s="29" t="str">
        <f t="shared" si="1"/>
        <v/>
      </c>
      <c r="H46" s="40"/>
      <c r="I46" s="29" t="str">
        <f t="shared" si="2"/>
        <v/>
      </c>
      <c r="J46" s="29"/>
    </row>
    <row r="47" spans="1:10" ht="22.05" customHeight="1" x14ac:dyDescent="0.45">
      <c r="A47" s="39" t="str">
        <f>IF(OR('Ground Schedule'!A13="",'Ground Schedule'!I13=""),"",'Ground Schedule'!A13)</f>
        <v/>
      </c>
      <c r="B47" s="29" t="str">
        <f>IF(A47="","",'Ground Schedule'!C13)</f>
        <v/>
      </c>
      <c r="C47" s="29" t="str">
        <f>IF(A47="","",'Ground Schedule'!I$4)</f>
        <v/>
      </c>
      <c r="D47" s="29" t="str">
        <f>IF(A47="","",'Ground Schedule'!I13)</f>
        <v/>
      </c>
      <c r="E47" s="29" t="str">
        <f t="shared" si="0"/>
        <v/>
      </c>
      <c r="F47" s="40"/>
      <c r="G47" s="29" t="str">
        <f t="shared" si="1"/>
        <v/>
      </c>
      <c r="H47" s="40"/>
      <c r="I47" s="29" t="str">
        <f t="shared" si="2"/>
        <v/>
      </c>
      <c r="J47" s="29"/>
    </row>
    <row r="48" spans="1:10" ht="22.05" customHeight="1" x14ac:dyDescent="0.45">
      <c r="A48" s="39" t="str">
        <f>IF(OR('Ground Schedule'!A13="",'Ground Schedule'!J13=""),"",'Ground Schedule'!A13)</f>
        <v/>
      </c>
      <c r="B48" s="29" t="str">
        <f>IF(A48="","",'Ground Schedule'!C13)</f>
        <v/>
      </c>
      <c r="C48" s="29" t="str">
        <f>IF(A48="","",'Ground Schedule'!J$4)</f>
        <v/>
      </c>
      <c r="D48" s="29" t="str">
        <f>IF(A48="","",'Ground Schedule'!J13)</f>
        <v/>
      </c>
      <c r="E48" s="29" t="str">
        <f t="shared" si="0"/>
        <v/>
      </c>
      <c r="F48" s="40"/>
      <c r="G48" s="29" t="str">
        <f t="shared" si="1"/>
        <v/>
      </c>
      <c r="H48" s="40"/>
      <c r="I48" s="29" t="str">
        <f t="shared" si="2"/>
        <v/>
      </c>
      <c r="J48" s="29"/>
    </row>
    <row r="49" spans="1:10" ht="22.05" customHeight="1" x14ac:dyDescent="0.45">
      <c r="A49" s="39" t="str">
        <f>IF(OR('Ground Schedule'!A14="",'Ground Schedule'!F14=""),"",'Ground Schedule'!A14)</f>
        <v/>
      </c>
      <c r="B49" s="29" t="str">
        <f>IF(A49="","",'Ground Schedule'!C14)</f>
        <v/>
      </c>
      <c r="C49" s="29" t="str">
        <f>IF(A49="","",'Ground Schedule'!F$4)</f>
        <v/>
      </c>
      <c r="D49" s="29" t="str">
        <f>IF(A49="","",'Ground Schedule'!F14)</f>
        <v/>
      </c>
      <c r="E49" s="29" t="str">
        <f t="shared" si="0"/>
        <v/>
      </c>
      <c r="F49" s="40"/>
      <c r="G49" s="29" t="str">
        <f t="shared" si="1"/>
        <v/>
      </c>
      <c r="H49" s="40"/>
      <c r="I49" s="29" t="str">
        <f t="shared" si="2"/>
        <v/>
      </c>
      <c r="J49" s="29"/>
    </row>
    <row r="50" spans="1:10" ht="22.05" customHeight="1" x14ac:dyDescent="0.45">
      <c r="A50" s="39">
        <f>IF(OR('Ground Schedule'!A14="",'Ground Schedule'!G14=""),"",'Ground Schedule'!A14)</f>
        <v>46306</v>
      </c>
      <c r="B50" s="29" t="str">
        <f>IF(A50="","",'Ground Schedule'!C14)</f>
        <v>Lords of Maval</v>
      </c>
      <c r="C50" s="29" t="str">
        <f>IF(A50="","",'Ground Schedule'!G$4)</f>
        <v>10:30 AM Slot</v>
      </c>
      <c r="D50" s="29" t="str">
        <f>IF(A50="","",'Ground Schedule'!G14)</f>
        <v>Microland vs Strikeforge</v>
      </c>
      <c r="E50" s="29" t="str">
        <f t="shared" si="0"/>
        <v>Microland</v>
      </c>
      <c r="F50" s="40"/>
      <c r="G50" s="29" t="str">
        <f t="shared" si="1"/>
        <v>Strikeforge</v>
      </c>
      <c r="H50" s="40"/>
      <c r="I50" s="29" t="str">
        <f t="shared" si="2"/>
        <v>Both Pending</v>
      </c>
      <c r="J50" s="29"/>
    </row>
    <row r="51" spans="1:10" ht="22.05" customHeight="1" x14ac:dyDescent="0.45">
      <c r="A51" s="39" t="str">
        <f>IF(OR('Ground Schedule'!A14="",'Ground Schedule'!H14=""),"",'Ground Schedule'!A14)</f>
        <v/>
      </c>
      <c r="B51" s="29" t="str">
        <f>IF(A51="","",'Ground Schedule'!C14)</f>
        <v/>
      </c>
      <c r="C51" s="29" t="str">
        <f>IF(A51="","",'Ground Schedule'!H$4)</f>
        <v/>
      </c>
      <c r="D51" s="29" t="str">
        <f>IF(A51="","",'Ground Schedule'!H14)</f>
        <v/>
      </c>
      <c r="E51" s="29" t="str">
        <f t="shared" si="0"/>
        <v/>
      </c>
      <c r="F51" s="40"/>
      <c r="G51" s="29" t="str">
        <f t="shared" si="1"/>
        <v/>
      </c>
      <c r="H51" s="40"/>
      <c r="I51" s="29" t="str">
        <f t="shared" si="2"/>
        <v/>
      </c>
      <c r="J51" s="29"/>
    </row>
    <row r="52" spans="1:10" ht="22.05" customHeight="1" x14ac:dyDescent="0.45">
      <c r="A52" s="39" t="str">
        <f>IF(OR('Ground Schedule'!A14="",'Ground Schedule'!I14=""),"",'Ground Schedule'!A14)</f>
        <v/>
      </c>
      <c r="B52" s="29" t="str">
        <f>IF(A52="","",'Ground Schedule'!C14)</f>
        <v/>
      </c>
      <c r="C52" s="29" t="str">
        <f>IF(A52="","",'Ground Schedule'!I$4)</f>
        <v/>
      </c>
      <c r="D52" s="29" t="str">
        <f>IF(A52="","",'Ground Schedule'!I14)</f>
        <v/>
      </c>
      <c r="E52" s="29" t="str">
        <f t="shared" si="0"/>
        <v/>
      </c>
      <c r="F52" s="40"/>
      <c r="G52" s="29" t="str">
        <f t="shared" si="1"/>
        <v/>
      </c>
      <c r="H52" s="40"/>
      <c r="I52" s="29" t="str">
        <f t="shared" si="2"/>
        <v/>
      </c>
      <c r="J52" s="29"/>
    </row>
    <row r="53" spans="1:10" ht="22.05" customHeight="1" x14ac:dyDescent="0.45">
      <c r="A53" s="39" t="str">
        <f>IF(OR('Ground Schedule'!A14="",'Ground Schedule'!J14=""),"",'Ground Schedule'!A14)</f>
        <v/>
      </c>
      <c r="B53" s="29" t="str">
        <f>IF(A53="","",'Ground Schedule'!C14)</f>
        <v/>
      </c>
      <c r="C53" s="29" t="str">
        <f>IF(A53="","",'Ground Schedule'!J$4)</f>
        <v/>
      </c>
      <c r="D53" s="29" t="str">
        <f>IF(A53="","",'Ground Schedule'!J14)</f>
        <v/>
      </c>
      <c r="E53" s="29" t="str">
        <f t="shared" si="0"/>
        <v/>
      </c>
      <c r="F53" s="40"/>
      <c r="G53" s="29" t="str">
        <f t="shared" si="1"/>
        <v/>
      </c>
      <c r="H53" s="40"/>
      <c r="I53" s="29" t="str">
        <f t="shared" si="2"/>
        <v/>
      </c>
      <c r="J53" s="29"/>
    </row>
    <row r="54" spans="1:10" ht="22.05" customHeight="1" x14ac:dyDescent="0.45">
      <c r="A54" s="39" t="str">
        <f>IF(OR('Ground Schedule'!A15="",'Ground Schedule'!F15=""),"",'Ground Schedule'!A15)</f>
        <v/>
      </c>
      <c r="B54" s="29" t="str">
        <f>IF(A54="","",'Ground Schedule'!C15)</f>
        <v/>
      </c>
      <c r="C54" s="29" t="str">
        <f>IF(A54="","",'Ground Schedule'!F$4)</f>
        <v/>
      </c>
      <c r="D54" s="29" t="str">
        <f>IF(A54="","",'Ground Schedule'!F15)</f>
        <v/>
      </c>
      <c r="E54" s="29" t="str">
        <f t="shared" si="0"/>
        <v/>
      </c>
      <c r="F54" s="40"/>
      <c r="G54" s="29" t="str">
        <f t="shared" si="1"/>
        <v/>
      </c>
      <c r="H54" s="40"/>
      <c r="I54" s="29" t="str">
        <f t="shared" si="2"/>
        <v/>
      </c>
      <c r="J54" s="29"/>
    </row>
    <row r="55" spans="1:10" ht="22.05" customHeight="1" x14ac:dyDescent="0.45">
      <c r="A55" s="39" t="str">
        <f>IF(OR('Ground Schedule'!A15="",'Ground Schedule'!G15=""),"",'Ground Schedule'!A15)</f>
        <v/>
      </c>
      <c r="B55" s="29" t="str">
        <f>IF(A55="","",'Ground Schedule'!C15)</f>
        <v/>
      </c>
      <c r="C55" s="29" t="str">
        <f>IF(A55="","",'Ground Schedule'!G$4)</f>
        <v/>
      </c>
      <c r="D55" s="29" t="str">
        <f>IF(A55="","",'Ground Schedule'!G15)</f>
        <v/>
      </c>
      <c r="E55" s="29" t="str">
        <f t="shared" si="0"/>
        <v/>
      </c>
      <c r="F55" s="40"/>
      <c r="G55" s="29" t="str">
        <f t="shared" si="1"/>
        <v/>
      </c>
      <c r="H55" s="40"/>
      <c r="I55" s="29" t="str">
        <f t="shared" si="2"/>
        <v/>
      </c>
      <c r="J55" s="29"/>
    </row>
    <row r="56" spans="1:10" ht="22.05" customHeight="1" x14ac:dyDescent="0.45">
      <c r="A56" s="39" t="str">
        <f>IF(OR('Ground Schedule'!A15="",'Ground Schedule'!H15=""),"",'Ground Schedule'!A15)</f>
        <v/>
      </c>
      <c r="B56" s="29" t="str">
        <f>IF(A56="","",'Ground Schedule'!C15)</f>
        <v/>
      </c>
      <c r="C56" s="29" t="str">
        <f>IF(A56="","",'Ground Schedule'!H$4)</f>
        <v/>
      </c>
      <c r="D56" s="29" t="str">
        <f>IF(A56="","",'Ground Schedule'!H15)</f>
        <v/>
      </c>
      <c r="E56" s="29" t="str">
        <f t="shared" si="0"/>
        <v/>
      </c>
      <c r="F56" s="40"/>
      <c r="G56" s="29" t="str">
        <f t="shared" si="1"/>
        <v/>
      </c>
      <c r="H56" s="40"/>
      <c r="I56" s="29" t="str">
        <f t="shared" si="2"/>
        <v/>
      </c>
      <c r="J56" s="29"/>
    </row>
    <row r="57" spans="1:10" ht="22.05" customHeight="1" x14ac:dyDescent="0.45">
      <c r="A57" s="39" t="str">
        <f>IF(OR('Ground Schedule'!A15="",'Ground Schedule'!I15=""),"",'Ground Schedule'!A15)</f>
        <v/>
      </c>
      <c r="B57" s="29" t="str">
        <f>IF(A57="","",'Ground Schedule'!C15)</f>
        <v/>
      </c>
      <c r="C57" s="29" t="str">
        <f>IF(A57="","",'Ground Schedule'!I$4)</f>
        <v/>
      </c>
      <c r="D57" s="29" t="str">
        <f>IF(A57="","",'Ground Schedule'!I15)</f>
        <v/>
      </c>
      <c r="E57" s="29" t="str">
        <f t="shared" si="0"/>
        <v/>
      </c>
      <c r="F57" s="40"/>
      <c r="G57" s="29" t="str">
        <f t="shared" si="1"/>
        <v/>
      </c>
      <c r="H57" s="40"/>
      <c r="I57" s="29" t="str">
        <f t="shared" si="2"/>
        <v/>
      </c>
      <c r="J57" s="29"/>
    </row>
    <row r="58" spans="1:10" ht="22.05" customHeight="1" x14ac:dyDescent="0.45">
      <c r="A58" s="39" t="str">
        <f>IF(OR('Ground Schedule'!A15="",'Ground Schedule'!J15=""),"",'Ground Schedule'!A15)</f>
        <v/>
      </c>
      <c r="B58" s="29" t="str">
        <f>IF(A58="","",'Ground Schedule'!C15)</f>
        <v/>
      </c>
      <c r="C58" s="29" t="str">
        <f>IF(A58="","",'Ground Schedule'!J$4)</f>
        <v/>
      </c>
      <c r="D58" s="29" t="str">
        <f>IF(A58="","",'Ground Schedule'!J15)</f>
        <v/>
      </c>
      <c r="E58" s="29" t="str">
        <f t="shared" si="0"/>
        <v/>
      </c>
      <c r="F58" s="40"/>
      <c r="G58" s="29" t="str">
        <f t="shared" si="1"/>
        <v/>
      </c>
      <c r="H58" s="40"/>
      <c r="I58" s="29" t="str">
        <f t="shared" si="2"/>
        <v/>
      </c>
      <c r="J58" s="29"/>
    </row>
    <row r="59" spans="1:10" ht="22.05" customHeight="1" x14ac:dyDescent="0.45">
      <c r="A59" s="39" t="str">
        <f>IF(OR('Ground Schedule'!A16="",'Ground Schedule'!F16=""),"",'Ground Schedule'!A16)</f>
        <v/>
      </c>
      <c r="B59" s="29" t="str">
        <f>IF(A59="","",'Ground Schedule'!C16)</f>
        <v/>
      </c>
      <c r="C59" s="29" t="str">
        <f>IF(A59="","",'Ground Schedule'!F$4)</f>
        <v/>
      </c>
      <c r="D59" s="29" t="str">
        <f>IF(A59="","",'Ground Schedule'!F16)</f>
        <v/>
      </c>
      <c r="E59" s="29" t="str">
        <f t="shared" si="0"/>
        <v/>
      </c>
      <c r="F59" s="40"/>
      <c r="G59" s="29" t="str">
        <f t="shared" si="1"/>
        <v/>
      </c>
      <c r="H59" s="40"/>
      <c r="I59" s="29" t="str">
        <f t="shared" si="2"/>
        <v/>
      </c>
      <c r="J59" s="29"/>
    </row>
    <row r="60" spans="1:10" ht="22.05" customHeight="1" x14ac:dyDescent="0.45">
      <c r="A60" s="39">
        <f>IF(OR('Ground Schedule'!A16="",'Ground Schedule'!G16=""),"",'Ground Schedule'!A16)</f>
        <v>46312</v>
      </c>
      <c r="B60" s="29" t="str">
        <f>IF(A60="","",'Ground Schedule'!C16)</f>
        <v>Lords of Maval</v>
      </c>
      <c r="C60" s="29" t="str">
        <f>IF(A60="","",'Ground Schedule'!G$4)</f>
        <v>10:30 AM Slot</v>
      </c>
      <c r="D60" s="29" t="str">
        <f>IF(A60="","",'Ground Schedule'!G16)</f>
        <v>Strikeforge vs Township (P)</v>
      </c>
      <c r="E60" s="29" t="str">
        <f t="shared" si="0"/>
        <v>Strikeforge</v>
      </c>
      <c r="F60" s="40"/>
      <c r="G60" s="29" t="str">
        <f t="shared" si="1"/>
        <v>Township (P)</v>
      </c>
      <c r="H60" s="40"/>
      <c r="I60" s="29" t="str">
        <f t="shared" si="2"/>
        <v>Both Pending</v>
      </c>
      <c r="J60" s="29"/>
    </row>
    <row r="61" spans="1:10" ht="22.05" customHeight="1" x14ac:dyDescent="0.45">
      <c r="A61" s="39" t="str">
        <f>IF(OR('Ground Schedule'!A16="",'Ground Schedule'!H16=""),"",'Ground Schedule'!A16)</f>
        <v/>
      </c>
      <c r="B61" s="29" t="str">
        <f>IF(A61="","",'Ground Schedule'!C16)</f>
        <v/>
      </c>
      <c r="C61" s="29" t="str">
        <f>IF(A61="","",'Ground Schedule'!H$4)</f>
        <v/>
      </c>
      <c r="D61" s="29" t="str">
        <f>IF(A61="","",'Ground Schedule'!H16)</f>
        <v/>
      </c>
      <c r="E61" s="29" t="str">
        <f t="shared" si="0"/>
        <v/>
      </c>
      <c r="F61" s="40"/>
      <c r="G61" s="29" t="str">
        <f t="shared" si="1"/>
        <v/>
      </c>
      <c r="H61" s="40"/>
      <c r="I61" s="29" t="str">
        <f t="shared" si="2"/>
        <v/>
      </c>
      <c r="J61" s="29"/>
    </row>
    <row r="62" spans="1:10" ht="22.05" customHeight="1" x14ac:dyDescent="0.45">
      <c r="A62" s="39">
        <f>IF(OR('Ground Schedule'!A16="",'Ground Schedule'!I16=""),"",'Ground Schedule'!A16)</f>
        <v>46312</v>
      </c>
      <c r="B62" s="29" t="str">
        <f>IF(A62="","",'Ground Schedule'!C16)</f>
        <v>Lords of Maval</v>
      </c>
      <c r="C62" s="29" t="str">
        <f>IF(A62="","",'Ground Schedule'!I$4)</f>
        <v>02:00 PM Slot</v>
      </c>
      <c r="D62" s="29" t="str">
        <f>IF(A62="","",'Ground Schedule'!I16)</f>
        <v>TopGun Mavericks vs Scoring Swords</v>
      </c>
      <c r="E62" s="29" t="str">
        <f t="shared" si="0"/>
        <v>TopGun Mavericks</v>
      </c>
      <c r="F62" s="40"/>
      <c r="G62" s="29" t="str">
        <f t="shared" si="1"/>
        <v>Scoring Swords</v>
      </c>
      <c r="H62" s="40"/>
      <c r="I62" s="29" t="str">
        <f t="shared" si="2"/>
        <v>Both Pending</v>
      </c>
      <c r="J62" s="29"/>
    </row>
    <row r="63" spans="1:10" ht="22.05" customHeight="1" x14ac:dyDescent="0.45">
      <c r="A63" s="39" t="str">
        <f>IF(OR('Ground Schedule'!A16="",'Ground Schedule'!J16=""),"",'Ground Schedule'!A16)</f>
        <v/>
      </c>
      <c r="B63" s="29" t="str">
        <f>IF(A63="","",'Ground Schedule'!C16)</f>
        <v/>
      </c>
      <c r="C63" s="29" t="str">
        <f>IF(A63="","",'Ground Schedule'!J$4)</f>
        <v/>
      </c>
      <c r="D63" s="29" t="str">
        <f>IF(A63="","",'Ground Schedule'!J16)</f>
        <v/>
      </c>
      <c r="E63" s="29" t="str">
        <f t="shared" si="0"/>
        <v/>
      </c>
      <c r="F63" s="40"/>
      <c r="G63" s="29" t="str">
        <f t="shared" si="1"/>
        <v/>
      </c>
      <c r="H63" s="40"/>
      <c r="I63" s="29" t="str">
        <f t="shared" si="2"/>
        <v/>
      </c>
      <c r="J63" s="29"/>
    </row>
    <row r="64" spans="1:10" ht="22.05" customHeight="1" x14ac:dyDescent="0.45">
      <c r="A64" s="39" t="str">
        <f>IF(OR('Ground Schedule'!A17="",'Ground Schedule'!F17=""),"",'Ground Schedule'!A17)</f>
        <v/>
      </c>
      <c r="B64" s="29" t="str">
        <f>IF(A64="","",'Ground Schedule'!C17)</f>
        <v/>
      </c>
      <c r="C64" s="29" t="str">
        <f>IF(A64="","",'Ground Schedule'!F$4)</f>
        <v/>
      </c>
      <c r="D64" s="29" t="str">
        <f>IF(A64="","",'Ground Schedule'!F17)</f>
        <v/>
      </c>
      <c r="E64" s="29" t="str">
        <f t="shared" si="0"/>
        <v/>
      </c>
      <c r="F64" s="40"/>
      <c r="G64" s="29" t="str">
        <f t="shared" si="1"/>
        <v/>
      </c>
      <c r="H64" s="40"/>
      <c r="I64" s="29" t="str">
        <f t="shared" si="2"/>
        <v/>
      </c>
      <c r="J64" s="29"/>
    </row>
    <row r="65" spans="1:10" ht="22.05" customHeight="1" x14ac:dyDescent="0.45">
      <c r="A65" s="39" t="str">
        <f>IF(OR('Ground Schedule'!A17="",'Ground Schedule'!G17=""),"",'Ground Schedule'!A17)</f>
        <v/>
      </c>
      <c r="B65" s="29" t="str">
        <f>IF(A65="","",'Ground Schedule'!C17)</f>
        <v/>
      </c>
      <c r="C65" s="29" t="str">
        <f>IF(A65="","",'Ground Schedule'!G$4)</f>
        <v/>
      </c>
      <c r="D65" s="29" t="str">
        <f>IF(A65="","",'Ground Schedule'!G17)</f>
        <v/>
      </c>
      <c r="E65" s="29" t="str">
        <f t="shared" si="0"/>
        <v/>
      </c>
      <c r="F65" s="40"/>
      <c r="G65" s="29" t="str">
        <f t="shared" si="1"/>
        <v/>
      </c>
      <c r="H65" s="40"/>
      <c r="I65" s="29" t="str">
        <f t="shared" si="2"/>
        <v/>
      </c>
      <c r="J65" s="29"/>
    </row>
    <row r="66" spans="1:10" ht="22.05" customHeight="1" x14ac:dyDescent="0.45">
      <c r="A66" s="39" t="str">
        <f>IF(OR('Ground Schedule'!A17="",'Ground Schedule'!H17=""),"",'Ground Schedule'!A17)</f>
        <v/>
      </c>
      <c r="B66" s="29" t="str">
        <f>IF(A66="","",'Ground Schedule'!C17)</f>
        <v/>
      </c>
      <c r="C66" s="29" t="str">
        <f>IF(A66="","",'Ground Schedule'!H$4)</f>
        <v/>
      </c>
      <c r="D66" s="29" t="str">
        <f>IF(A66="","",'Ground Schedule'!H17)</f>
        <v/>
      </c>
      <c r="E66" s="29" t="str">
        <f t="shared" si="0"/>
        <v/>
      </c>
      <c r="F66" s="40"/>
      <c r="G66" s="29" t="str">
        <f t="shared" si="1"/>
        <v/>
      </c>
      <c r="H66" s="40"/>
      <c r="I66" s="29" t="str">
        <f t="shared" si="2"/>
        <v/>
      </c>
      <c r="J66" s="29"/>
    </row>
    <row r="67" spans="1:10" ht="22.05" customHeight="1" x14ac:dyDescent="0.45">
      <c r="A67" s="39" t="str">
        <f>IF(OR('Ground Schedule'!A17="",'Ground Schedule'!I17=""),"",'Ground Schedule'!A17)</f>
        <v/>
      </c>
      <c r="B67" s="29" t="str">
        <f>IF(A67="","",'Ground Schedule'!C17)</f>
        <v/>
      </c>
      <c r="C67" s="29" t="str">
        <f>IF(A67="","",'Ground Schedule'!I$4)</f>
        <v/>
      </c>
      <c r="D67" s="29" t="str">
        <f>IF(A67="","",'Ground Schedule'!I17)</f>
        <v/>
      </c>
      <c r="E67" s="29" t="str">
        <f t="shared" si="0"/>
        <v/>
      </c>
      <c r="F67" s="40"/>
      <c r="G67" s="29" t="str">
        <f t="shared" si="1"/>
        <v/>
      </c>
      <c r="H67" s="40"/>
      <c r="I67" s="29" t="str">
        <f t="shared" si="2"/>
        <v/>
      </c>
      <c r="J67" s="29"/>
    </row>
    <row r="68" spans="1:10" ht="22.05" customHeight="1" x14ac:dyDescent="0.45">
      <c r="A68" s="39" t="str">
        <f>IF(OR('Ground Schedule'!A17="",'Ground Schedule'!J17=""),"",'Ground Schedule'!A17)</f>
        <v/>
      </c>
      <c r="B68" s="29" t="str">
        <f>IF(A68="","",'Ground Schedule'!C17)</f>
        <v/>
      </c>
      <c r="C68" s="29" t="str">
        <f>IF(A68="","",'Ground Schedule'!J$4)</f>
        <v/>
      </c>
      <c r="D68" s="29" t="str">
        <f>IF(A68="","",'Ground Schedule'!J17)</f>
        <v/>
      </c>
      <c r="E68" s="29" t="str">
        <f t="shared" ref="E68:E131" si="3">IFERROR(TRIM(LEFT(D68,SEARCH(" vs ",D68)-1)),"")</f>
        <v/>
      </c>
      <c r="F68" s="40"/>
      <c r="G68" s="29" t="str">
        <f t="shared" ref="G68:G131" si="4">IFERROR(TRIM(MID(D68,SEARCH(" vs ",D68)+4,LEN(D68))),"")</f>
        <v/>
      </c>
      <c r="H68" s="40"/>
      <c r="I68" s="29" t="str">
        <f t="shared" ref="I68:I131" si="5">IF(OR(E68="",G68=""),"",IF(AND(F68="Paid",H68="Paid"),"Both Paid",IF(AND(OR(F68="Pending",F68=""),OR(H68="Pending",H68="")),"Both Pending",IF(AND(F68="Not Applicable",H68="Not Applicable"),"Not Applicable",IF(OR(F68="Paid",H68="Paid"),"Partially Paid","Pending")))))</f>
        <v/>
      </c>
      <c r="J68" s="29"/>
    </row>
    <row r="69" spans="1:10" ht="22.05" customHeight="1" x14ac:dyDescent="0.45">
      <c r="A69" s="39" t="str">
        <f>IF(OR('Ground Schedule'!A18="",'Ground Schedule'!F18=""),"",'Ground Schedule'!A18)</f>
        <v/>
      </c>
      <c r="B69" s="29" t="str">
        <f>IF(A69="","",'Ground Schedule'!C18)</f>
        <v/>
      </c>
      <c r="C69" s="29" t="str">
        <f>IF(A69="","",'Ground Schedule'!F$4)</f>
        <v/>
      </c>
      <c r="D69" s="29" t="str">
        <f>IF(A69="","",'Ground Schedule'!F18)</f>
        <v/>
      </c>
      <c r="E69" s="29" t="str">
        <f t="shared" si="3"/>
        <v/>
      </c>
      <c r="F69" s="40"/>
      <c r="G69" s="29" t="str">
        <f t="shared" si="4"/>
        <v/>
      </c>
      <c r="H69" s="40"/>
      <c r="I69" s="29" t="str">
        <f t="shared" si="5"/>
        <v/>
      </c>
      <c r="J69" s="29"/>
    </row>
    <row r="70" spans="1:10" ht="22.05" customHeight="1" x14ac:dyDescent="0.45">
      <c r="A70" s="39">
        <f>IF(OR('Ground Schedule'!A18="",'Ground Schedule'!G18=""),"",'Ground Schedule'!A18)</f>
        <v>46313</v>
      </c>
      <c r="B70" s="29" t="str">
        <f>IF(A70="","",'Ground Schedule'!C18)</f>
        <v>Lords of Maval</v>
      </c>
      <c r="C70" s="29" t="str">
        <f>IF(A70="","",'Ground Schedule'!G$4)</f>
        <v>10:30 AM Slot</v>
      </c>
      <c r="D70" s="29" t="str">
        <f>IF(A70="","",'Ground Schedule'!G18)</f>
        <v>SJ Warriors vs Royal Strikers</v>
      </c>
      <c r="E70" s="29" t="str">
        <f t="shared" si="3"/>
        <v>SJ Warriors</v>
      </c>
      <c r="F70" s="40"/>
      <c r="G70" s="29" t="str">
        <f t="shared" si="4"/>
        <v>Royal Strikers</v>
      </c>
      <c r="H70" s="40"/>
      <c r="I70" s="29" t="str">
        <f t="shared" si="5"/>
        <v>Both Pending</v>
      </c>
      <c r="J70" s="29"/>
    </row>
    <row r="71" spans="1:10" ht="22.05" customHeight="1" x14ac:dyDescent="0.45">
      <c r="A71" s="39" t="str">
        <f>IF(OR('Ground Schedule'!A18="",'Ground Schedule'!H18=""),"",'Ground Schedule'!A18)</f>
        <v/>
      </c>
      <c r="B71" s="29" t="str">
        <f>IF(A71="","",'Ground Schedule'!C18)</f>
        <v/>
      </c>
      <c r="C71" s="29" t="str">
        <f>IF(A71="","",'Ground Schedule'!H$4)</f>
        <v/>
      </c>
      <c r="D71" s="29" t="str">
        <f>IF(A71="","",'Ground Schedule'!H18)</f>
        <v/>
      </c>
      <c r="E71" s="29" t="str">
        <f t="shared" si="3"/>
        <v/>
      </c>
      <c r="F71" s="40"/>
      <c r="G71" s="29" t="str">
        <f t="shared" si="4"/>
        <v/>
      </c>
      <c r="H71" s="40"/>
      <c r="I71" s="29" t="str">
        <f t="shared" si="5"/>
        <v/>
      </c>
      <c r="J71" s="29"/>
    </row>
    <row r="72" spans="1:10" ht="22.05" customHeight="1" x14ac:dyDescent="0.45">
      <c r="A72" s="39">
        <f>IF(OR('Ground Schedule'!A18="",'Ground Schedule'!I18=""),"",'Ground Schedule'!A18)</f>
        <v>46313</v>
      </c>
      <c r="B72" s="29" t="str">
        <f>IF(A72="","",'Ground Schedule'!C18)</f>
        <v>Lords of Maval</v>
      </c>
      <c r="C72" s="29" t="str">
        <f>IF(A72="","",'Ground Schedule'!I$4)</f>
        <v>02:00 PM Slot</v>
      </c>
      <c r="D72" s="29" t="str">
        <f>IF(A72="","",'Ground Schedule'!I18)</f>
        <v>Team Aristo vs Boundary Line</v>
      </c>
      <c r="E72" s="29" t="str">
        <f t="shared" si="3"/>
        <v>Team Aristo</v>
      </c>
      <c r="F72" s="40"/>
      <c r="G72" s="29" t="str">
        <f t="shared" si="4"/>
        <v>Boundary Line</v>
      </c>
      <c r="H72" s="40"/>
      <c r="I72" s="29" t="str">
        <f t="shared" si="5"/>
        <v>Both Pending</v>
      </c>
      <c r="J72" s="29"/>
    </row>
    <row r="73" spans="1:10" ht="22.05" customHeight="1" x14ac:dyDescent="0.45">
      <c r="A73" s="39" t="str">
        <f>IF(OR('Ground Schedule'!A18="",'Ground Schedule'!J18=""),"",'Ground Schedule'!A18)</f>
        <v/>
      </c>
      <c r="B73" s="29" t="str">
        <f>IF(A73="","",'Ground Schedule'!C18)</f>
        <v/>
      </c>
      <c r="C73" s="29" t="str">
        <f>IF(A73="","",'Ground Schedule'!J$4)</f>
        <v/>
      </c>
      <c r="D73" s="29" t="str">
        <f>IF(A73="","",'Ground Schedule'!J18)</f>
        <v/>
      </c>
      <c r="E73" s="29" t="str">
        <f t="shared" si="3"/>
        <v/>
      </c>
      <c r="F73" s="40"/>
      <c r="G73" s="29" t="str">
        <f t="shared" si="4"/>
        <v/>
      </c>
      <c r="H73" s="40"/>
      <c r="I73" s="29" t="str">
        <f t="shared" si="5"/>
        <v/>
      </c>
      <c r="J73" s="29"/>
    </row>
    <row r="74" spans="1:10" ht="22.05" customHeight="1" x14ac:dyDescent="0.45">
      <c r="A74" s="39" t="str">
        <f>IF(OR('Ground Schedule'!A19="",'Ground Schedule'!F19=""),"",'Ground Schedule'!A19)</f>
        <v/>
      </c>
      <c r="B74" s="29" t="str">
        <f>IF(A74="","",'Ground Schedule'!C19)</f>
        <v/>
      </c>
      <c r="C74" s="29" t="str">
        <f>IF(A74="","",'Ground Schedule'!F$4)</f>
        <v/>
      </c>
      <c r="D74" s="29" t="str">
        <f>IF(A74="","",'Ground Schedule'!F19)</f>
        <v/>
      </c>
      <c r="E74" s="29" t="str">
        <f t="shared" si="3"/>
        <v/>
      </c>
      <c r="F74" s="40"/>
      <c r="G74" s="29" t="str">
        <f t="shared" si="4"/>
        <v/>
      </c>
      <c r="H74" s="40"/>
      <c r="I74" s="29" t="str">
        <f t="shared" si="5"/>
        <v/>
      </c>
      <c r="J74" s="29"/>
    </row>
    <row r="75" spans="1:10" ht="22.05" customHeight="1" x14ac:dyDescent="0.45">
      <c r="A75" s="39" t="str">
        <f>IF(OR('Ground Schedule'!A19="",'Ground Schedule'!G19=""),"",'Ground Schedule'!A19)</f>
        <v/>
      </c>
      <c r="B75" s="29" t="str">
        <f>IF(A75="","",'Ground Schedule'!C19)</f>
        <v/>
      </c>
      <c r="C75" s="29" t="str">
        <f>IF(A75="","",'Ground Schedule'!G$4)</f>
        <v/>
      </c>
      <c r="D75" s="29" t="str">
        <f>IF(A75="","",'Ground Schedule'!G19)</f>
        <v/>
      </c>
      <c r="E75" s="29" t="str">
        <f t="shared" si="3"/>
        <v/>
      </c>
      <c r="F75" s="40"/>
      <c r="G75" s="29" t="str">
        <f t="shared" si="4"/>
        <v/>
      </c>
      <c r="H75" s="40"/>
      <c r="I75" s="29" t="str">
        <f t="shared" si="5"/>
        <v/>
      </c>
      <c r="J75" s="29"/>
    </row>
    <row r="76" spans="1:10" ht="22.05" customHeight="1" x14ac:dyDescent="0.45">
      <c r="A76" s="39" t="str">
        <f>IF(OR('Ground Schedule'!A19="",'Ground Schedule'!H19=""),"",'Ground Schedule'!A19)</f>
        <v/>
      </c>
      <c r="B76" s="29" t="str">
        <f>IF(A76="","",'Ground Schedule'!C19)</f>
        <v/>
      </c>
      <c r="C76" s="29" t="str">
        <f>IF(A76="","",'Ground Schedule'!H$4)</f>
        <v/>
      </c>
      <c r="D76" s="29" t="str">
        <f>IF(A76="","",'Ground Schedule'!H19)</f>
        <v/>
      </c>
      <c r="E76" s="29" t="str">
        <f t="shared" si="3"/>
        <v/>
      </c>
      <c r="F76" s="40"/>
      <c r="G76" s="29" t="str">
        <f t="shared" si="4"/>
        <v/>
      </c>
      <c r="H76" s="40"/>
      <c r="I76" s="29" t="str">
        <f t="shared" si="5"/>
        <v/>
      </c>
      <c r="J76" s="29"/>
    </row>
    <row r="77" spans="1:10" ht="22.05" customHeight="1" x14ac:dyDescent="0.45">
      <c r="A77" s="39" t="str">
        <f>IF(OR('Ground Schedule'!A19="",'Ground Schedule'!I19=""),"",'Ground Schedule'!A19)</f>
        <v/>
      </c>
      <c r="B77" s="29" t="str">
        <f>IF(A77="","",'Ground Schedule'!C19)</f>
        <v/>
      </c>
      <c r="C77" s="29" t="str">
        <f>IF(A77="","",'Ground Schedule'!I$4)</f>
        <v/>
      </c>
      <c r="D77" s="29" t="str">
        <f>IF(A77="","",'Ground Schedule'!I19)</f>
        <v/>
      </c>
      <c r="E77" s="29" t="str">
        <f t="shared" si="3"/>
        <v/>
      </c>
      <c r="F77" s="40"/>
      <c r="G77" s="29" t="str">
        <f t="shared" si="4"/>
        <v/>
      </c>
      <c r="H77" s="40"/>
      <c r="I77" s="29" t="str">
        <f t="shared" si="5"/>
        <v/>
      </c>
      <c r="J77" s="29"/>
    </row>
    <row r="78" spans="1:10" ht="22.05" customHeight="1" x14ac:dyDescent="0.45">
      <c r="A78" s="39" t="str">
        <f>IF(OR('Ground Schedule'!A19="",'Ground Schedule'!J19=""),"",'Ground Schedule'!A19)</f>
        <v/>
      </c>
      <c r="B78" s="29" t="str">
        <f>IF(A78="","",'Ground Schedule'!C19)</f>
        <v/>
      </c>
      <c r="C78" s="29" t="str">
        <f>IF(A78="","",'Ground Schedule'!J$4)</f>
        <v/>
      </c>
      <c r="D78" s="29" t="str">
        <f>IF(A78="","",'Ground Schedule'!J19)</f>
        <v/>
      </c>
      <c r="E78" s="29" t="str">
        <f t="shared" si="3"/>
        <v/>
      </c>
      <c r="F78" s="40"/>
      <c r="G78" s="29" t="str">
        <f t="shared" si="4"/>
        <v/>
      </c>
      <c r="H78" s="40"/>
      <c r="I78" s="29" t="str">
        <f t="shared" si="5"/>
        <v/>
      </c>
      <c r="J78" s="29"/>
    </row>
    <row r="79" spans="1:10" ht="22.05" customHeight="1" x14ac:dyDescent="0.45">
      <c r="A79" s="39" t="str">
        <f>IF(OR('Ground Schedule'!A20="",'Ground Schedule'!F20=""),"",'Ground Schedule'!A20)</f>
        <v/>
      </c>
      <c r="B79" s="29" t="str">
        <f>IF(A79="","",'Ground Schedule'!C20)</f>
        <v/>
      </c>
      <c r="C79" s="29" t="str">
        <f>IF(A79="","",'Ground Schedule'!F$4)</f>
        <v/>
      </c>
      <c r="D79" s="29" t="str">
        <f>IF(A79="","",'Ground Schedule'!F20)</f>
        <v/>
      </c>
      <c r="E79" s="29" t="str">
        <f t="shared" si="3"/>
        <v/>
      </c>
      <c r="F79" s="40"/>
      <c r="G79" s="29" t="str">
        <f t="shared" si="4"/>
        <v/>
      </c>
      <c r="H79" s="40"/>
      <c r="I79" s="29" t="str">
        <f t="shared" si="5"/>
        <v/>
      </c>
      <c r="J79" s="29"/>
    </row>
    <row r="80" spans="1:10" ht="22.05" customHeight="1" x14ac:dyDescent="0.45">
      <c r="A80" s="39">
        <f>IF(OR('Ground Schedule'!A20="",'Ground Schedule'!G20=""),"",'Ground Schedule'!A20)</f>
        <v>46319</v>
      </c>
      <c r="B80" s="29" t="str">
        <f>IF(A80="","",'Ground Schedule'!C20)</f>
        <v>Lords of Maval</v>
      </c>
      <c r="C80" s="29" t="str">
        <f>IF(A80="","",'Ground Schedule'!G$4)</f>
        <v>10:30 AM Slot</v>
      </c>
      <c r="D80" s="29" t="str">
        <f>IF(A80="","",'Ground Schedule'!G20)</f>
        <v>Team Aristo vs Phoenix Risers</v>
      </c>
      <c r="E80" s="29" t="str">
        <f t="shared" si="3"/>
        <v>Team Aristo</v>
      </c>
      <c r="F80" s="40"/>
      <c r="G80" s="29" t="str">
        <f t="shared" si="4"/>
        <v>Phoenix Risers</v>
      </c>
      <c r="H80" s="40"/>
      <c r="I80" s="29" t="str">
        <f t="shared" si="5"/>
        <v>Both Pending</v>
      </c>
      <c r="J80" s="29"/>
    </row>
    <row r="81" spans="1:10" ht="22.05" customHeight="1" x14ac:dyDescent="0.45">
      <c r="A81" s="39" t="str">
        <f>IF(OR('Ground Schedule'!A20="",'Ground Schedule'!H20=""),"",'Ground Schedule'!A20)</f>
        <v/>
      </c>
      <c r="B81" s="29" t="str">
        <f>IF(A81="","",'Ground Schedule'!C20)</f>
        <v/>
      </c>
      <c r="C81" s="29" t="str">
        <f>IF(A81="","",'Ground Schedule'!H$4)</f>
        <v/>
      </c>
      <c r="D81" s="29" t="str">
        <f>IF(A81="","",'Ground Schedule'!H20)</f>
        <v/>
      </c>
      <c r="E81" s="29" t="str">
        <f t="shared" si="3"/>
        <v/>
      </c>
      <c r="F81" s="40"/>
      <c r="G81" s="29" t="str">
        <f t="shared" si="4"/>
        <v/>
      </c>
      <c r="H81" s="40"/>
      <c r="I81" s="29" t="str">
        <f t="shared" si="5"/>
        <v/>
      </c>
      <c r="J81" s="29"/>
    </row>
    <row r="82" spans="1:10" ht="22.05" customHeight="1" x14ac:dyDescent="0.45">
      <c r="A82" s="39">
        <f>IF(OR('Ground Schedule'!A20="",'Ground Schedule'!I20=""),"",'Ground Schedule'!A20)</f>
        <v>46319</v>
      </c>
      <c r="B82" s="29" t="str">
        <f>IF(A82="","",'Ground Schedule'!C20)</f>
        <v>Lords of Maval</v>
      </c>
      <c r="C82" s="29" t="str">
        <f>IF(A82="","",'Ground Schedule'!I$4)</f>
        <v>02:00 PM Slot</v>
      </c>
      <c r="D82" s="29" t="str">
        <f>IF(A82="","",'Ground Schedule'!I20)</f>
        <v>Sangha vs BR Bulls — Semi</v>
      </c>
      <c r="E82" s="29" t="str">
        <f t="shared" si="3"/>
        <v>Sangha</v>
      </c>
      <c r="F82" s="40"/>
      <c r="G82" s="29" t="str">
        <f t="shared" si="4"/>
        <v>BR Bulls — Semi</v>
      </c>
      <c r="H82" s="40"/>
      <c r="I82" s="29" t="str">
        <f t="shared" si="5"/>
        <v>Both Pending</v>
      </c>
      <c r="J82" s="29"/>
    </row>
    <row r="83" spans="1:10" ht="22.05" customHeight="1" x14ac:dyDescent="0.45">
      <c r="A83" s="39" t="str">
        <f>IF(OR('Ground Schedule'!A20="",'Ground Schedule'!J20=""),"",'Ground Schedule'!A20)</f>
        <v/>
      </c>
      <c r="B83" s="29" t="str">
        <f>IF(A83="","",'Ground Schedule'!C20)</f>
        <v/>
      </c>
      <c r="C83" s="29" t="str">
        <f>IF(A83="","",'Ground Schedule'!J$4)</f>
        <v/>
      </c>
      <c r="D83" s="29" t="str">
        <f>IF(A83="","",'Ground Schedule'!J20)</f>
        <v/>
      </c>
      <c r="E83" s="29" t="str">
        <f t="shared" si="3"/>
        <v/>
      </c>
      <c r="F83" s="40"/>
      <c r="G83" s="29" t="str">
        <f t="shared" si="4"/>
        <v/>
      </c>
      <c r="H83" s="40"/>
      <c r="I83" s="29" t="str">
        <f t="shared" si="5"/>
        <v/>
      </c>
      <c r="J83" s="29"/>
    </row>
    <row r="84" spans="1:10" ht="22.05" customHeight="1" x14ac:dyDescent="0.45">
      <c r="A84" s="39" t="str">
        <f>IF(OR('Ground Schedule'!A21="",'Ground Schedule'!F21=""),"",'Ground Schedule'!A21)</f>
        <v/>
      </c>
      <c r="B84" s="29" t="str">
        <f>IF(A84="","",'Ground Schedule'!C21)</f>
        <v/>
      </c>
      <c r="C84" s="29" t="str">
        <f>IF(A84="","",'Ground Schedule'!F$4)</f>
        <v/>
      </c>
      <c r="D84" s="29" t="str">
        <f>IF(A84="","",'Ground Schedule'!F21)</f>
        <v/>
      </c>
      <c r="E84" s="29" t="str">
        <f t="shared" si="3"/>
        <v/>
      </c>
      <c r="F84" s="40"/>
      <c r="G84" s="29" t="str">
        <f t="shared" si="4"/>
        <v/>
      </c>
      <c r="H84" s="40"/>
      <c r="I84" s="29" t="str">
        <f t="shared" si="5"/>
        <v/>
      </c>
      <c r="J84" s="29"/>
    </row>
    <row r="85" spans="1:10" ht="22.05" customHeight="1" x14ac:dyDescent="0.45">
      <c r="A85" s="39" t="str">
        <f>IF(OR('Ground Schedule'!A21="",'Ground Schedule'!G21=""),"",'Ground Schedule'!A21)</f>
        <v/>
      </c>
      <c r="B85" s="29" t="str">
        <f>IF(A85="","",'Ground Schedule'!C21)</f>
        <v/>
      </c>
      <c r="C85" s="29" t="str">
        <f>IF(A85="","",'Ground Schedule'!G$4)</f>
        <v/>
      </c>
      <c r="D85" s="29" t="str">
        <f>IF(A85="","",'Ground Schedule'!G21)</f>
        <v/>
      </c>
      <c r="E85" s="29" t="str">
        <f t="shared" si="3"/>
        <v/>
      </c>
      <c r="F85" s="40"/>
      <c r="G85" s="29" t="str">
        <f t="shared" si="4"/>
        <v/>
      </c>
      <c r="H85" s="40"/>
      <c r="I85" s="29" t="str">
        <f t="shared" si="5"/>
        <v/>
      </c>
      <c r="J85" s="29"/>
    </row>
    <row r="86" spans="1:10" ht="22.05" customHeight="1" x14ac:dyDescent="0.45">
      <c r="A86" s="39" t="str">
        <f>IF(OR('Ground Schedule'!A21="",'Ground Schedule'!H21=""),"",'Ground Schedule'!A21)</f>
        <v/>
      </c>
      <c r="B86" s="29" t="str">
        <f>IF(A86="","",'Ground Schedule'!C21)</f>
        <v/>
      </c>
      <c r="C86" s="29" t="str">
        <f>IF(A86="","",'Ground Schedule'!H$4)</f>
        <v/>
      </c>
      <c r="D86" s="29" t="str">
        <f>IF(A86="","",'Ground Schedule'!H21)</f>
        <v/>
      </c>
      <c r="E86" s="29" t="str">
        <f t="shared" si="3"/>
        <v/>
      </c>
      <c r="F86" s="40"/>
      <c r="G86" s="29" t="str">
        <f t="shared" si="4"/>
        <v/>
      </c>
      <c r="H86" s="40"/>
      <c r="I86" s="29" t="str">
        <f t="shared" si="5"/>
        <v/>
      </c>
      <c r="J86" s="29"/>
    </row>
    <row r="87" spans="1:10" ht="22.05" customHeight="1" x14ac:dyDescent="0.45">
      <c r="A87" s="39" t="str">
        <f>IF(OR('Ground Schedule'!A21="",'Ground Schedule'!I21=""),"",'Ground Schedule'!A21)</f>
        <v/>
      </c>
      <c r="B87" s="29" t="str">
        <f>IF(A87="","",'Ground Schedule'!C21)</f>
        <v/>
      </c>
      <c r="C87" s="29" t="str">
        <f>IF(A87="","",'Ground Schedule'!I$4)</f>
        <v/>
      </c>
      <c r="D87" s="29" t="str">
        <f>IF(A87="","",'Ground Schedule'!I21)</f>
        <v/>
      </c>
      <c r="E87" s="29" t="str">
        <f t="shared" si="3"/>
        <v/>
      </c>
      <c r="F87" s="40"/>
      <c r="G87" s="29" t="str">
        <f t="shared" si="4"/>
        <v/>
      </c>
      <c r="H87" s="40"/>
      <c r="I87" s="29" t="str">
        <f t="shared" si="5"/>
        <v/>
      </c>
      <c r="J87" s="29"/>
    </row>
    <row r="88" spans="1:10" ht="22.05" customHeight="1" x14ac:dyDescent="0.45">
      <c r="A88" s="39" t="str">
        <f>IF(OR('Ground Schedule'!A21="",'Ground Schedule'!J21=""),"",'Ground Schedule'!A21)</f>
        <v/>
      </c>
      <c r="B88" s="29" t="str">
        <f>IF(A88="","",'Ground Schedule'!C21)</f>
        <v/>
      </c>
      <c r="C88" s="29" t="str">
        <f>IF(A88="","",'Ground Schedule'!J$4)</f>
        <v/>
      </c>
      <c r="D88" s="29" t="str">
        <f>IF(A88="","",'Ground Schedule'!J21)</f>
        <v/>
      </c>
      <c r="E88" s="29" t="str">
        <f t="shared" si="3"/>
        <v/>
      </c>
      <c r="F88" s="40"/>
      <c r="G88" s="29" t="str">
        <f t="shared" si="4"/>
        <v/>
      </c>
      <c r="H88" s="40"/>
      <c r="I88" s="29" t="str">
        <f t="shared" si="5"/>
        <v/>
      </c>
      <c r="J88" s="29"/>
    </row>
    <row r="89" spans="1:10" ht="22.05" customHeight="1" x14ac:dyDescent="0.45">
      <c r="A89" s="39" t="str">
        <f>IF(OR('Ground Schedule'!A22="",'Ground Schedule'!F22=""),"",'Ground Schedule'!A22)</f>
        <v/>
      </c>
      <c r="B89" s="29" t="str">
        <f>IF(A89="","",'Ground Schedule'!C22)</f>
        <v/>
      </c>
      <c r="C89" s="29" t="str">
        <f>IF(A89="","",'Ground Schedule'!F$4)</f>
        <v/>
      </c>
      <c r="D89" s="29" t="str">
        <f>IF(A89="","",'Ground Schedule'!F22)</f>
        <v/>
      </c>
      <c r="E89" s="29" t="str">
        <f t="shared" si="3"/>
        <v/>
      </c>
      <c r="F89" s="40"/>
      <c r="G89" s="29" t="str">
        <f t="shared" si="4"/>
        <v/>
      </c>
      <c r="H89" s="40"/>
      <c r="I89" s="29" t="str">
        <f t="shared" si="5"/>
        <v/>
      </c>
      <c r="J89" s="29"/>
    </row>
    <row r="90" spans="1:10" ht="22.05" customHeight="1" x14ac:dyDescent="0.45">
      <c r="A90" s="39">
        <f>IF(OR('Ground Schedule'!A22="",'Ground Schedule'!G22=""),"",'Ground Schedule'!A22)</f>
        <v>46320</v>
      </c>
      <c r="B90" s="29" t="str">
        <f>IF(A90="","",'Ground Schedule'!C22)</f>
        <v>Lords of Maval</v>
      </c>
      <c r="C90" s="29" t="str">
        <f>IF(A90="","",'Ground Schedule'!G$4)</f>
        <v>10:30 AM Slot</v>
      </c>
      <c r="D90" s="29" t="str">
        <f>IF(A90="","",'Ground Schedule'!G22)</f>
        <v>Pattern Strikers vs Titan Wolves</v>
      </c>
      <c r="E90" s="29" t="str">
        <f t="shared" si="3"/>
        <v>Pattern Strikers</v>
      </c>
      <c r="F90" s="40"/>
      <c r="G90" s="29" t="str">
        <f t="shared" si="4"/>
        <v>Titan Wolves</v>
      </c>
      <c r="H90" s="40"/>
      <c r="I90" s="29" t="str">
        <f t="shared" si="5"/>
        <v>Both Pending</v>
      </c>
      <c r="J90" s="29"/>
    </row>
    <row r="91" spans="1:10" ht="22.05" customHeight="1" x14ac:dyDescent="0.45">
      <c r="A91" s="39" t="str">
        <f>IF(OR('Ground Schedule'!A22="",'Ground Schedule'!H22=""),"",'Ground Schedule'!A22)</f>
        <v/>
      </c>
      <c r="B91" s="29" t="str">
        <f>IF(A91="","",'Ground Schedule'!C22)</f>
        <v/>
      </c>
      <c r="C91" s="29" t="str">
        <f>IF(A91="","",'Ground Schedule'!H$4)</f>
        <v/>
      </c>
      <c r="D91" s="29" t="str">
        <f>IF(A91="","",'Ground Schedule'!H22)</f>
        <v/>
      </c>
      <c r="E91" s="29" t="str">
        <f t="shared" si="3"/>
        <v/>
      </c>
      <c r="F91" s="40"/>
      <c r="G91" s="29" t="str">
        <f t="shared" si="4"/>
        <v/>
      </c>
      <c r="H91" s="40"/>
      <c r="I91" s="29" t="str">
        <f t="shared" si="5"/>
        <v/>
      </c>
      <c r="J91" s="29"/>
    </row>
    <row r="92" spans="1:10" ht="22.05" customHeight="1" x14ac:dyDescent="0.45">
      <c r="A92" s="39">
        <f>IF(OR('Ground Schedule'!A22="",'Ground Schedule'!I22=""),"",'Ground Schedule'!A22)</f>
        <v>46320</v>
      </c>
      <c r="B92" s="29" t="str">
        <f>IF(A92="","",'Ground Schedule'!C22)</f>
        <v>Lords of Maval</v>
      </c>
      <c r="C92" s="29" t="str">
        <f>IF(A92="","",'Ground Schedule'!I$4)</f>
        <v>02:00 PM Slot</v>
      </c>
      <c r="D92" s="29" t="str">
        <f>IF(A92="","",'Ground Schedule'!I22)</f>
        <v>Black Caps vs Topguns Cricket Club</v>
      </c>
      <c r="E92" s="29" t="str">
        <f t="shared" si="3"/>
        <v>Black Caps</v>
      </c>
      <c r="F92" s="40"/>
      <c r="G92" s="29" t="str">
        <f t="shared" si="4"/>
        <v>Topguns Cricket Club</v>
      </c>
      <c r="H92" s="40"/>
      <c r="I92" s="29" t="str">
        <f t="shared" si="5"/>
        <v>Both Pending</v>
      </c>
      <c r="J92" s="29"/>
    </row>
    <row r="93" spans="1:10" ht="22.05" customHeight="1" x14ac:dyDescent="0.45">
      <c r="A93" s="39" t="str">
        <f>IF(OR('Ground Schedule'!A22="",'Ground Schedule'!J22=""),"",'Ground Schedule'!A22)</f>
        <v/>
      </c>
      <c r="B93" s="29" t="str">
        <f>IF(A93="","",'Ground Schedule'!C22)</f>
        <v/>
      </c>
      <c r="C93" s="29" t="str">
        <f>IF(A93="","",'Ground Schedule'!J$4)</f>
        <v/>
      </c>
      <c r="D93" s="29" t="str">
        <f>IF(A93="","",'Ground Schedule'!J22)</f>
        <v/>
      </c>
      <c r="E93" s="29" t="str">
        <f t="shared" si="3"/>
        <v/>
      </c>
      <c r="F93" s="40"/>
      <c r="G93" s="29" t="str">
        <f t="shared" si="4"/>
        <v/>
      </c>
      <c r="H93" s="40"/>
      <c r="I93" s="29" t="str">
        <f t="shared" si="5"/>
        <v/>
      </c>
      <c r="J93" s="29"/>
    </row>
    <row r="94" spans="1:10" ht="22.05" customHeight="1" x14ac:dyDescent="0.45">
      <c r="A94" s="39" t="str">
        <f>IF(OR('Ground Schedule'!A23="",'Ground Schedule'!F23=""),"",'Ground Schedule'!A23)</f>
        <v/>
      </c>
      <c r="B94" s="29" t="str">
        <f>IF(A94="","",'Ground Schedule'!C23)</f>
        <v/>
      </c>
      <c r="C94" s="29" t="str">
        <f>IF(A94="","",'Ground Schedule'!F$4)</f>
        <v/>
      </c>
      <c r="D94" s="29" t="str">
        <f>IF(A94="","",'Ground Schedule'!F23)</f>
        <v/>
      </c>
      <c r="E94" s="29" t="str">
        <f t="shared" si="3"/>
        <v/>
      </c>
      <c r="F94" s="40"/>
      <c r="G94" s="29" t="str">
        <f t="shared" si="4"/>
        <v/>
      </c>
      <c r="H94" s="40"/>
      <c r="I94" s="29" t="str">
        <f t="shared" si="5"/>
        <v/>
      </c>
      <c r="J94" s="29"/>
    </row>
    <row r="95" spans="1:10" ht="22.05" customHeight="1" x14ac:dyDescent="0.45">
      <c r="A95" s="39" t="str">
        <f>IF(OR('Ground Schedule'!A23="",'Ground Schedule'!G23=""),"",'Ground Schedule'!A23)</f>
        <v/>
      </c>
      <c r="B95" s="29" t="str">
        <f>IF(A95="","",'Ground Schedule'!C23)</f>
        <v/>
      </c>
      <c r="C95" s="29" t="str">
        <f>IF(A95="","",'Ground Schedule'!G$4)</f>
        <v/>
      </c>
      <c r="D95" s="29" t="str">
        <f>IF(A95="","",'Ground Schedule'!G23)</f>
        <v/>
      </c>
      <c r="E95" s="29" t="str">
        <f t="shared" si="3"/>
        <v/>
      </c>
      <c r="F95" s="40"/>
      <c r="G95" s="29" t="str">
        <f t="shared" si="4"/>
        <v/>
      </c>
      <c r="H95" s="40"/>
      <c r="I95" s="29" t="str">
        <f t="shared" si="5"/>
        <v/>
      </c>
      <c r="J95" s="29"/>
    </row>
    <row r="96" spans="1:10" ht="22.05" customHeight="1" x14ac:dyDescent="0.45">
      <c r="A96" s="39" t="str">
        <f>IF(OR('Ground Schedule'!A23="",'Ground Schedule'!H23=""),"",'Ground Schedule'!A23)</f>
        <v/>
      </c>
      <c r="B96" s="29" t="str">
        <f>IF(A96="","",'Ground Schedule'!C23)</f>
        <v/>
      </c>
      <c r="C96" s="29" t="str">
        <f>IF(A96="","",'Ground Schedule'!H$4)</f>
        <v/>
      </c>
      <c r="D96" s="29" t="str">
        <f>IF(A96="","",'Ground Schedule'!H23)</f>
        <v/>
      </c>
      <c r="E96" s="29" t="str">
        <f t="shared" si="3"/>
        <v/>
      </c>
      <c r="F96" s="40"/>
      <c r="G96" s="29" t="str">
        <f t="shared" si="4"/>
        <v/>
      </c>
      <c r="H96" s="40"/>
      <c r="I96" s="29" t="str">
        <f t="shared" si="5"/>
        <v/>
      </c>
      <c r="J96" s="29"/>
    </row>
    <row r="97" spans="1:10" ht="22.05" customHeight="1" x14ac:dyDescent="0.45">
      <c r="A97" s="39" t="str">
        <f>IF(OR('Ground Schedule'!A23="",'Ground Schedule'!I23=""),"",'Ground Schedule'!A23)</f>
        <v/>
      </c>
      <c r="B97" s="29" t="str">
        <f>IF(A97="","",'Ground Schedule'!C23)</f>
        <v/>
      </c>
      <c r="C97" s="29" t="str">
        <f>IF(A97="","",'Ground Schedule'!I$4)</f>
        <v/>
      </c>
      <c r="D97" s="29" t="str">
        <f>IF(A97="","",'Ground Schedule'!I23)</f>
        <v/>
      </c>
      <c r="E97" s="29" t="str">
        <f t="shared" si="3"/>
        <v/>
      </c>
      <c r="F97" s="40"/>
      <c r="G97" s="29" t="str">
        <f t="shared" si="4"/>
        <v/>
      </c>
      <c r="H97" s="40"/>
      <c r="I97" s="29" t="str">
        <f t="shared" si="5"/>
        <v/>
      </c>
      <c r="J97" s="29"/>
    </row>
    <row r="98" spans="1:10" ht="22.05" customHeight="1" x14ac:dyDescent="0.45">
      <c r="A98" s="39" t="str">
        <f>IF(OR('Ground Schedule'!A23="",'Ground Schedule'!J23=""),"",'Ground Schedule'!A23)</f>
        <v/>
      </c>
      <c r="B98" s="29" t="str">
        <f>IF(A98="","",'Ground Schedule'!C23)</f>
        <v/>
      </c>
      <c r="C98" s="29" t="str">
        <f>IF(A98="","",'Ground Schedule'!J$4)</f>
        <v/>
      </c>
      <c r="D98" s="29" t="str">
        <f>IF(A98="","",'Ground Schedule'!J23)</f>
        <v/>
      </c>
      <c r="E98" s="29" t="str">
        <f t="shared" si="3"/>
        <v/>
      </c>
      <c r="F98" s="40"/>
      <c r="G98" s="29" t="str">
        <f t="shared" si="4"/>
        <v/>
      </c>
      <c r="H98" s="40"/>
      <c r="I98" s="29" t="str">
        <f t="shared" si="5"/>
        <v/>
      </c>
      <c r="J98" s="29"/>
    </row>
    <row r="99" spans="1:10" ht="22.05" customHeight="1" x14ac:dyDescent="0.45">
      <c r="A99" s="39" t="str">
        <f>IF(OR('Ground Schedule'!A24="",'Ground Schedule'!F24=""),"",'Ground Schedule'!A24)</f>
        <v/>
      </c>
      <c r="B99" s="29" t="str">
        <f>IF(A99="","",'Ground Schedule'!C24)</f>
        <v/>
      </c>
      <c r="C99" s="29" t="str">
        <f>IF(A99="","",'Ground Schedule'!F$4)</f>
        <v/>
      </c>
      <c r="D99" s="29" t="str">
        <f>IF(A99="","",'Ground Schedule'!F24)</f>
        <v/>
      </c>
      <c r="E99" s="29" t="str">
        <f t="shared" si="3"/>
        <v/>
      </c>
      <c r="F99" s="40"/>
      <c r="G99" s="29" t="str">
        <f t="shared" si="4"/>
        <v/>
      </c>
      <c r="H99" s="40"/>
      <c r="I99" s="29" t="str">
        <f t="shared" si="5"/>
        <v/>
      </c>
      <c r="J99" s="29"/>
    </row>
    <row r="100" spans="1:10" ht="22.05" customHeight="1" x14ac:dyDescent="0.45">
      <c r="A100" s="39">
        <f>IF(OR('Ground Schedule'!A24="",'Ground Schedule'!G24=""),"",'Ground Schedule'!A24)</f>
        <v>46326</v>
      </c>
      <c r="B100" s="29" t="str">
        <f>IF(A100="","",'Ground Schedule'!C24)</f>
        <v>Lords of Maval</v>
      </c>
      <c r="C100" s="29" t="str">
        <f>IF(A100="","",'Ground Schedule'!G$4)</f>
        <v>10:30 AM Slot</v>
      </c>
      <c r="D100" s="29" t="str">
        <f>IF(A100="","",'Ground Schedule'!G24)</f>
        <v>OM Cricket Club vs Rising Champions</v>
      </c>
      <c r="E100" s="29" t="str">
        <f t="shared" si="3"/>
        <v>OM Cricket Club</v>
      </c>
      <c r="F100" s="40"/>
      <c r="G100" s="29" t="str">
        <f t="shared" si="4"/>
        <v>Rising Champions</v>
      </c>
      <c r="H100" s="40"/>
      <c r="I100" s="29" t="str">
        <f t="shared" si="5"/>
        <v>Both Pending</v>
      </c>
      <c r="J100" s="29"/>
    </row>
    <row r="101" spans="1:10" ht="22.05" customHeight="1" x14ac:dyDescent="0.45">
      <c r="A101" s="39" t="str">
        <f>IF(OR('Ground Schedule'!A24="",'Ground Schedule'!H24=""),"",'Ground Schedule'!A24)</f>
        <v/>
      </c>
      <c r="B101" s="29" t="str">
        <f>IF(A101="","",'Ground Schedule'!C24)</f>
        <v/>
      </c>
      <c r="C101" s="29" t="str">
        <f>IF(A101="","",'Ground Schedule'!H$4)</f>
        <v/>
      </c>
      <c r="D101" s="29" t="str">
        <f>IF(A101="","",'Ground Schedule'!H24)</f>
        <v/>
      </c>
      <c r="E101" s="29" t="str">
        <f t="shared" si="3"/>
        <v/>
      </c>
      <c r="F101" s="40"/>
      <c r="G101" s="29" t="str">
        <f t="shared" si="4"/>
        <v/>
      </c>
      <c r="H101" s="40"/>
      <c r="I101" s="29" t="str">
        <f t="shared" si="5"/>
        <v/>
      </c>
      <c r="J101" s="29"/>
    </row>
    <row r="102" spans="1:10" ht="22.05" customHeight="1" x14ac:dyDescent="0.45">
      <c r="A102" s="39">
        <f>IF(OR('Ground Schedule'!A24="",'Ground Schedule'!I24=""),"",'Ground Schedule'!A24)</f>
        <v>46326</v>
      </c>
      <c r="B102" s="29" t="str">
        <f>IF(A102="","",'Ground Schedule'!C24)</f>
        <v>Lords of Maval</v>
      </c>
      <c r="C102" s="29" t="str">
        <f>IF(A102="","",'Ground Schedule'!I$4)</f>
        <v>02:00 PM Slot</v>
      </c>
      <c r="D102" s="29" t="str">
        <f>IF(A102="","",'Ground Schedule'!I24)</f>
        <v>Vajra Vikings vs SCC United</v>
      </c>
      <c r="E102" s="29" t="str">
        <f t="shared" si="3"/>
        <v>Vajra Vikings</v>
      </c>
      <c r="F102" s="40"/>
      <c r="G102" s="29" t="str">
        <f t="shared" si="4"/>
        <v>SCC United</v>
      </c>
      <c r="H102" s="40"/>
      <c r="I102" s="29" t="str">
        <f t="shared" si="5"/>
        <v>Both Pending</v>
      </c>
      <c r="J102" s="29"/>
    </row>
    <row r="103" spans="1:10" ht="22.05" customHeight="1" x14ac:dyDescent="0.45">
      <c r="A103" s="39" t="str">
        <f>IF(OR('Ground Schedule'!A24="",'Ground Schedule'!J24=""),"",'Ground Schedule'!A24)</f>
        <v/>
      </c>
      <c r="B103" s="29" t="str">
        <f>IF(A103="","",'Ground Schedule'!C24)</f>
        <v/>
      </c>
      <c r="C103" s="29" t="str">
        <f>IF(A103="","",'Ground Schedule'!J$4)</f>
        <v/>
      </c>
      <c r="D103" s="29" t="str">
        <f>IF(A103="","",'Ground Schedule'!J24)</f>
        <v/>
      </c>
      <c r="E103" s="29" t="str">
        <f t="shared" si="3"/>
        <v/>
      </c>
      <c r="F103" s="40"/>
      <c r="G103" s="29" t="str">
        <f t="shared" si="4"/>
        <v/>
      </c>
      <c r="H103" s="40"/>
      <c r="I103" s="29" t="str">
        <f t="shared" si="5"/>
        <v/>
      </c>
      <c r="J103" s="29"/>
    </row>
    <row r="104" spans="1:10" ht="22.05" customHeight="1" x14ac:dyDescent="0.45">
      <c r="A104" s="39" t="str">
        <f>IF(OR('Ground Schedule'!A25="",'Ground Schedule'!F25=""),"",'Ground Schedule'!A25)</f>
        <v/>
      </c>
      <c r="B104" s="29" t="str">
        <f>IF(A104="","",'Ground Schedule'!C25)</f>
        <v/>
      </c>
      <c r="C104" s="29" t="str">
        <f>IF(A104="","",'Ground Schedule'!F$4)</f>
        <v/>
      </c>
      <c r="D104" s="29" t="str">
        <f>IF(A104="","",'Ground Schedule'!F25)</f>
        <v/>
      </c>
      <c r="E104" s="29" t="str">
        <f t="shared" si="3"/>
        <v/>
      </c>
      <c r="F104" s="40"/>
      <c r="G104" s="29" t="str">
        <f t="shared" si="4"/>
        <v/>
      </c>
      <c r="H104" s="40"/>
      <c r="I104" s="29" t="str">
        <f t="shared" si="5"/>
        <v/>
      </c>
      <c r="J104" s="29"/>
    </row>
    <row r="105" spans="1:10" ht="22.05" customHeight="1" x14ac:dyDescent="0.45">
      <c r="A105" s="39" t="str">
        <f>IF(OR('Ground Schedule'!A25="",'Ground Schedule'!G25=""),"",'Ground Schedule'!A25)</f>
        <v/>
      </c>
      <c r="B105" s="29" t="str">
        <f>IF(A105="","",'Ground Schedule'!C25)</f>
        <v/>
      </c>
      <c r="C105" s="29" t="str">
        <f>IF(A105="","",'Ground Schedule'!G$4)</f>
        <v/>
      </c>
      <c r="D105" s="29" t="str">
        <f>IF(A105="","",'Ground Schedule'!G25)</f>
        <v/>
      </c>
      <c r="E105" s="29" t="str">
        <f t="shared" si="3"/>
        <v/>
      </c>
      <c r="F105" s="40"/>
      <c r="G105" s="29" t="str">
        <f t="shared" si="4"/>
        <v/>
      </c>
      <c r="H105" s="40"/>
      <c r="I105" s="29" t="str">
        <f t="shared" si="5"/>
        <v/>
      </c>
      <c r="J105" s="29"/>
    </row>
    <row r="106" spans="1:10" ht="22.05" customHeight="1" x14ac:dyDescent="0.45">
      <c r="A106" s="39" t="str">
        <f>IF(OR('Ground Schedule'!A25="",'Ground Schedule'!H25=""),"",'Ground Schedule'!A25)</f>
        <v/>
      </c>
      <c r="B106" s="29" t="str">
        <f>IF(A106="","",'Ground Schedule'!C25)</f>
        <v/>
      </c>
      <c r="C106" s="29" t="str">
        <f>IF(A106="","",'Ground Schedule'!H$4)</f>
        <v/>
      </c>
      <c r="D106" s="29" t="str">
        <f>IF(A106="","",'Ground Schedule'!H25)</f>
        <v/>
      </c>
      <c r="E106" s="29" t="str">
        <f t="shared" si="3"/>
        <v/>
      </c>
      <c r="F106" s="40"/>
      <c r="G106" s="29" t="str">
        <f t="shared" si="4"/>
        <v/>
      </c>
      <c r="H106" s="40"/>
      <c r="I106" s="29" t="str">
        <f t="shared" si="5"/>
        <v/>
      </c>
      <c r="J106" s="29"/>
    </row>
    <row r="107" spans="1:10" ht="22.05" customHeight="1" x14ac:dyDescent="0.45">
      <c r="A107" s="39" t="str">
        <f>IF(OR('Ground Schedule'!A25="",'Ground Schedule'!I25=""),"",'Ground Schedule'!A25)</f>
        <v/>
      </c>
      <c r="B107" s="29" t="str">
        <f>IF(A107="","",'Ground Schedule'!C25)</f>
        <v/>
      </c>
      <c r="C107" s="29" t="str">
        <f>IF(A107="","",'Ground Schedule'!I$4)</f>
        <v/>
      </c>
      <c r="D107" s="29" t="str">
        <f>IF(A107="","",'Ground Schedule'!I25)</f>
        <v/>
      </c>
      <c r="E107" s="29" t="str">
        <f t="shared" si="3"/>
        <v/>
      </c>
      <c r="F107" s="40"/>
      <c r="G107" s="29" t="str">
        <f t="shared" si="4"/>
        <v/>
      </c>
      <c r="H107" s="40"/>
      <c r="I107" s="29" t="str">
        <f t="shared" si="5"/>
        <v/>
      </c>
      <c r="J107" s="29"/>
    </row>
    <row r="108" spans="1:10" ht="22.05" customHeight="1" x14ac:dyDescent="0.45">
      <c r="A108" s="39" t="str">
        <f>IF(OR('Ground Schedule'!A25="",'Ground Schedule'!J25=""),"",'Ground Schedule'!A25)</f>
        <v/>
      </c>
      <c r="B108" s="29" t="str">
        <f>IF(A108="","",'Ground Schedule'!C25)</f>
        <v/>
      </c>
      <c r="C108" s="29" t="str">
        <f>IF(A108="","",'Ground Schedule'!J$4)</f>
        <v/>
      </c>
      <c r="D108" s="29" t="str">
        <f>IF(A108="","",'Ground Schedule'!J25)</f>
        <v/>
      </c>
      <c r="E108" s="29" t="str">
        <f t="shared" si="3"/>
        <v/>
      </c>
      <c r="F108" s="40"/>
      <c r="G108" s="29" t="str">
        <f t="shared" si="4"/>
        <v/>
      </c>
      <c r="H108" s="40"/>
      <c r="I108" s="29" t="str">
        <f t="shared" si="5"/>
        <v/>
      </c>
      <c r="J108" s="29"/>
    </row>
    <row r="109" spans="1:10" ht="22.05" customHeight="1" x14ac:dyDescent="0.45">
      <c r="A109" s="39" t="str">
        <f>IF(OR('Ground Schedule'!A26="",'Ground Schedule'!F26=""),"",'Ground Schedule'!A26)</f>
        <v/>
      </c>
      <c r="B109" s="29" t="str">
        <f>IF(A109="","",'Ground Schedule'!C26)</f>
        <v/>
      </c>
      <c r="C109" s="29" t="str">
        <f>IF(A109="","",'Ground Schedule'!F$4)</f>
        <v/>
      </c>
      <c r="D109" s="29" t="str">
        <f>IF(A109="","",'Ground Schedule'!F26)</f>
        <v/>
      </c>
      <c r="E109" s="29" t="str">
        <f t="shared" si="3"/>
        <v/>
      </c>
      <c r="F109" s="40"/>
      <c r="G109" s="29" t="str">
        <f t="shared" si="4"/>
        <v/>
      </c>
      <c r="H109" s="40"/>
      <c r="I109" s="29" t="str">
        <f t="shared" si="5"/>
        <v/>
      </c>
      <c r="J109" s="29"/>
    </row>
    <row r="110" spans="1:10" ht="22.05" customHeight="1" x14ac:dyDescent="0.45">
      <c r="A110" s="39">
        <f>IF(OR('Ground Schedule'!A26="",'Ground Schedule'!G26=""),"",'Ground Schedule'!A26)</f>
        <v>46327</v>
      </c>
      <c r="B110" s="29" t="str">
        <f>IF(A110="","",'Ground Schedule'!C26)</f>
        <v>Lords of Maval</v>
      </c>
      <c r="C110" s="29" t="str">
        <f>IF(A110="","",'Ground Schedule'!G$4)</f>
        <v>10:30 AM Slot</v>
      </c>
      <c r="D110" s="29" t="str">
        <f>IF(A110="","",'Ground Schedule'!G26)</f>
        <v>Team Aristo vs Hitman Sports</v>
      </c>
      <c r="E110" s="29" t="str">
        <f t="shared" si="3"/>
        <v>Team Aristo</v>
      </c>
      <c r="F110" s="40"/>
      <c r="G110" s="29" t="str">
        <f t="shared" si="4"/>
        <v>Hitman Sports</v>
      </c>
      <c r="H110" s="40"/>
      <c r="I110" s="29" t="str">
        <f t="shared" si="5"/>
        <v>Both Pending</v>
      </c>
      <c r="J110" s="29"/>
    </row>
    <row r="111" spans="1:10" ht="22.05" customHeight="1" x14ac:dyDescent="0.45">
      <c r="A111" s="39" t="str">
        <f>IF(OR('Ground Schedule'!A26="",'Ground Schedule'!H26=""),"",'Ground Schedule'!A26)</f>
        <v/>
      </c>
      <c r="B111" s="29" t="str">
        <f>IF(A111="","",'Ground Schedule'!C26)</f>
        <v/>
      </c>
      <c r="C111" s="29" t="str">
        <f>IF(A111="","",'Ground Schedule'!H$4)</f>
        <v/>
      </c>
      <c r="D111" s="29" t="str">
        <f>IF(A111="","",'Ground Schedule'!H26)</f>
        <v/>
      </c>
      <c r="E111" s="29" t="str">
        <f t="shared" si="3"/>
        <v/>
      </c>
      <c r="F111" s="40"/>
      <c r="G111" s="29" t="str">
        <f t="shared" si="4"/>
        <v/>
      </c>
      <c r="H111" s="40"/>
      <c r="I111" s="29" t="str">
        <f t="shared" si="5"/>
        <v/>
      </c>
      <c r="J111" s="29"/>
    </row>
    <row r="112" spans="1:10" ht="22.05" customHeight="1" x14ac:dyDescent="0.45">
      <c r="A112" s="39">
        <f>IF(OR('Ground Schedule'!A26="",'Ground Schedule'!I26=""),"",'Ground Schedule'!A26)</f>
        <v>46327</v>
      </c>
      <c r="B112" s="29" t="str">
        <f>IF(A112="","",'Ground Schedule'!C26)</f>
        <v>Lords of Maval</v>
      </c>
      <c r="C112" s="29" t="str">
        <f>IF(A112="","",'Ground Schedule'!I$4)</f>
        <v>02:00 PM Slot</v>
      </c>
      <c r="D112" s="29" t="str">
        <f>IF(A112="","",'Ground Schedule'!I26)</f>
        <v>Phoenix Risers vs Deccan Shiledar</v>
      </c>
      <c r="E112" s="29" t="str">
        <f t="shared" si="3"/>
        <v>Phoenix Risers</v>
      </c>
      <c r="F112" s="40"/>
      <c r="G112" s="29" t="str">
        <f t="shared" si="4"/>
        <v>Deccan Shiledar</v>
      </c>
      <c r="H112" s="40"/>
      <c r="I112" s="29" t="str">
        <f t="shared" si="5"/>
        <v>Both Pending</v>
      </c>
      <c r="J112" s="29"/>
    </row>
    <row r="113" spans="1:10" ht="22.05" customHeight="1" x14ac:dyDescent="0.45">
      <c r="A113" s="39" t="str">
        <f>IF(OR('Ground Schedule'!A26="",'Ground Schedule'!J26=""),"",'Ground Schedule'!A26)</f>
        <v/>
      </c>
      <c r="B113" s="29" t="str">
        <f>IF(A113="","",'Ground Schedule'!C26)</f>
        <v/>
      </c>
      <c r="C113" s="29" t="str">
        <f>IF(A113="","",'Ground Schedule'!J$4)</f>
        <v/>
      </c>
      <c r="D113" s="29" t="str">
        <f>IF(A113="","",'Ground Schedule'!J26)</f>
        <v/>
      </c>
      <c r="E113" s="29" t="str">
        <f t="shared" si="3"/>
        <v/>
      </c>
      <c r="F113" s="40"/>
      <c r="G113" s="29" t="str">
        <f t="shared" si="4"/>
        <v/>
      </c>
      <c r="H113" s="40"/>
      <c r="I113" s="29" t="str">
        <f t="shared" si="5"/>
        <v/>
      </c>
      <c r="J113" s="29"/>
    </row>
    <row r="114" spans="1:10" ht="22.05" customHeight="1" x14ac:dyDescent="0.45">
      <c r="A114" s="39" t="str">
        <f>IF(OR('Ground Schedule'!A27="",'Ground Schedule'!F27=""),"",'Ground Schedule'!A27)</f>
        <v/>
      </c>
      <c r="B114" s="29" t="str">
        <f>IF(A114="","",'Ground Schedule'!C27)</f>
        <v/>
      </c>
      <c r="C114" s="29" t="str">
        <f>IF(A114="","",'Ground Schedule'!F$4)</f>
        <v/>
      </c>
      <c r="D114" s="29" t="str">
        <f>IF(A114="","",'Ground Schedule'!F27)</f>
        <v/>
      </c>
      <c r="E114" s="29" t="str">
        <f t="shared" si="3"/>
        <v/>
      </c>
      <c r="F114" s="40"/>
      <c r="G114" s="29" t="str">
        <f t="shared" si="4"/>
        <v/>
      </c>
      <c r="H114" s="40"/>
      <c r="I114" s="29" t="str">
        <f t="shared" si="5"/>
        <v/>
      </c>
      <c r="J114" s="29"/>
    </row>
    <row r="115" spans="1:10" ht="22.05" customHeight="1" x14ac:dyDescent="0.45">
      <c r="A115" s="39" t="str">
        <f>IF(OR('Ground Schedule'!A27="",'Ground Schedule'!G27=""),"",'Ground Schedule'!A27)</f>
        <v/>
      </c>
      <c r="B115" s="29" t="str">
        <f>IF(A115="","",'Ground Schedule'!C27)</f>
        <v/>
      </c>
      <c r="C115" s="29" t="str">
        <f>IF(A115="","",'Ground Schedule'!G$4)</f>
        <v/>
      </c>
      <c r="D115" s="29" t="str">
        <f>IF(A115="","",'Ground Schedule'!G27)</f>
        <v/>
      </c>
      <c r="E115" s="29" t="str">
        <f t="shared" si="3"/>
        <v/>
      </c>
      <c r="F115" s="40"/>
      <c r="G115" s="29" t="str">
        <f t="shared" si="4"/>
        <v/>
      </c>
      <c r="H115" s="40"/>
      <c r="I115" s="29" t="str">
        <f t="shared" si="5"/>
        <v/>
      </c>
      <c r="J115" s="29"/>
    </row>
    <row r="116" spans="1:10" ht="22.05" customHeight="1" x14ac:dyDescent="0.45">
      <c r="A116" s="39" t="str">
        <f>IF(OR('Ground Schedule'!A27="",'Ground Schedule'!H27=""),"",'Ground Schedule'!A27)</f>
        <v/>
      </c>
      <c r="B116" s="29" t="str">
        <f>IF(A116="","",'Ground Schedule'!C27)</f>
        <v/>
      </c>
      <c r="C116" s="29" t="str">
        <f>IF(A116="","",'Ground Schedule'!H$4)</f>
        <v/>
      </c>
      <c r="D116" s="29" t="str">
        <f>IF(A116="","",'Ground Schedule'!H27)</f>
        <v/>
      </c>
      <c r="E116" s="29" t="str">
        <f t="shared" si="3"/>
        <v/>
      </c>
      <c r="F116" s="40"/>
      <c r="G116" s="29" t="str">
        <f t="shared" si="4"/>
        <v/>
      </c>
      <c r="H116" s="40"/>
      <c r="I116" s="29" t="str">
        <f t="shared" si="5"/>
        <v/>
      </c>
      <c r="J116" s="29"/>
    </row>
    <row r="117" spans="1:10" ht="22.05" customHeight="1" x14ac:dyDescent="0.45">
      <c r="A117" s="39" t="str">
        <f>IF(OR('Ground Schedule'!A27="",'Ground Schedule'!I27=""),"",'Ground Schedule'!A27)</f>
        <v/>
      </c>
      <c r="B117" s="29" t="str">
        <f>IF(A117="","",'Ground Schedule'!C27)</f>
        <v/>
      </c>
      <c r="C117" s="29" t="str">
        <f>IF(A117="","",'Ground Schedule'!I$4)</f>
        <v/>
      </c>
      <c r="D117" s="29" t="str">
        <f>IF(A117="","",'Ground Schedule'!I27)</f>
        <v/>
      </c>
      <c r="E117" s="29" t="str">
        <f t="shared" si="3"/>
        <v/>
      </c>
      <c r="F117" s="40"/>
      <c r="G117" s="29" t="str">
        <f t="shared" si="4"/>
        <v/>
      </c>
      <c r="H117" s="40"/>
      <c r="I117" s="29" t="str">
        <f t="shared" si="5"/>
        <v/>
      </c>
      <c r="J117" s="29"/>
    </row>
    <row r="118" spans="1:10" ht="22.05" customHeight="1" x14ac:dyDescent="0.45">
      <c r="A118" s="39" t="str">
        <f>IF(OR('Ground Schedule'!A27="",'Ground Schedule'!J27=""),"",'Ground Schedule'!A27)</f>
        <v/>
      </c>
      <c r="B118" s="29" t="str">
        <f>IF(A118="","",'Ground Schedule'!C27)</f>
        <v/>
      </c>
      <c r="C118" s="29" t="str">
        <f>IF(A118="","",'Ground Schedule'!J$4)</f>
        <v/>
      </c>
      <c r="D118" s="29" t="str">
        <f>IF(A118="","",'Ground Schedule'!J27)</f>
        <v/>
      </c>
      <c r="E118" s="29" t="str">
        <f t="shared" si="3"/>
        <v/>
      </c>
      <c r="F118" s="40"/>
      <c r="G118" s="29" t="str">
        <f t="shared" si="4"/>
        <v/>
      </c>
      <c r="H118" s="40"/>
      <c r="I118" s="29" t="str">
        <f t="shared" si="5"/>
        <v/>
      </c>
      <c r="J118" s="29"/>
    </row>
    <row r="119" spans="1:10" ht="22.05" customHeight="1" x14ac:dyDescent="0.45">
      <c r="A119" s="39" t="str">
        <f>IF(OR('Ground Schedule'!A28="",'Ground Schedule'!F28=""),"",'Ground Schedule'!A28)</f>
        <v/>
      </c>
      <c r="B119" s="29" t="str">
        <f>IF(A119="","",'Ground Schedule'!C28)</f>
        <v/>
      </c>
      <c r="C119" s="29" t="str">
        <f>IF(A119="","",'Ground Schedule'!F$4)</f>
        <v/>
      </c>
      <c r="D119" s="29" t="str">
        <f>IF(A119="","",'Ground Schedule'!F28)</f>
        <v/>
      </c>
      <c r="E119" s="29" t="str">
        <f t="shared" si="3"/>
        <v/>
      </c>
      <c r="F119" s="40"/>
      <c r="G119" s="29" t="str">
        <f t="shared" si="4"/>
        <v/>
      </c>
      <c r="H119" s="40"/>
      <c r="I119" s="29" t="str">
        <f t="shared" si="5"/>
        <v/>
      </c>
      <c r="J119" s="29"/>
    </row>
    <row r="120" spans="1:10" ht="22.05" customHeight="1" x14ac:dyDescent="0.45">
      <c r="A120" s="39">
        <f>IF(OR('Ground Schedule'!A28="",'Ground Schedule'!G28=""),"",'Ground Schedule'!A28)</f>
        <v>46333</v>
      </c>
      <c r="B120" s="29" t="str">
        <f>IF(A120="","",'Ground Schedule'!C28)</f>
        <v>Lords of Maval</v>
      </c>
      <c r="C120" s="29" t="str">
        <f>IF(A120="","",'Ground Schedule'!G$4)</f>
        <v>10:30 AM Slot</v>
      </c>
      <c r="D120" s="29" t="str">
        <f>IF(A120="","",'Ground Schedule'!G28)</f>
        <v>Boundary Line vs TopGun Mavericks</v>
      </c>
      <c r="E120" s="29" t="str">
        <f t="shared" si="3"/>
        <v>Boundary Line</v>
      </c>
      <c r="F120" s="40"/>
      <c r="G120" s="29" t="str">
        <f t="shared" si="4"/>
        <v>TopGun Mavericks</v>
      </c>
      <c r="H120" s="40"/>
      <c r="I120" s="29" t="str">
        <f t="shared" si="5"/>
        <v>Both Pending</v>
      </c>
      <c r="J120" s="29"/>
    </row>
    <row r="121" spans="1:10" ht="22.05" customHeight="1" x14ac:dyDescent="0.45">
      <c r="A121" s="39" t="str">
        <f>IF(OR('Ground Schedule'!A28="",'Ground Schedule'!H28=""),"",'Ground Schedule'!A28)</f>
        <v/>
      </c>
      <c r="B121" s="29" t="str">
        <f>IF(A121="","",'Ground Schedule'!C28)</f>
        <v/>
      </c>
      <c r="C121" s="29" t="str">
        <f>IF(A121="","",'Ground Schedule'!H$4)</f>
        <v/>
      </c>
      <c r="D121" s="29" t="str">
        <f>IF(A121="","",'Ground Schedule'!H28)</f>
        <v/>
      </c>
      <c r="E121" s="29" t="str">
        <f t="shared" si="3"/>
        <v/>
      </c>
      <c r="F121" s="40"/>
      <c r="G121" s="29" t="str">
        <f t="shared" si="4"/>
        <v/>
      </c>
      <c r="H121" s="40"/>
      <c r="I121" s="29" t="str">
        <f t="shared" si="5"/>
        <v/>
      </c>
      <c r="J121" s="29"/>
    </row>
    <row r="122" spans="1:10" ht="22.05" customHeight="1" x14ac:dyDescent="0.45">
      <c r="A122" s="39">
        <f>IF(OR('Ground Schedule'!A28="",'Ground Schedule'!I28=""),"",'Ground Schedule'!A28)</f>
        <v>46333</v>
      </c>
      <c r="B122" s="29" t="str">
        <f>IF(A122="","",'Ground Schedule'!C28)</f>
        <v>Lords of Maval</v>
      </c>
      <c r="C122" s="29" t="str">
        <f>IF(A122="","",'Ground Schedule'!I$4)</f>
        <v>02:00 PM Slot</v>
      </c>
      <c r="D122" s="29" t="str">
        <f>IF(A122="","",'Ground Schedule'!I28)</f>
        <v>Topguns Cricket Club vs Batboys</v>
      </c>
      <c r="E122" s="29" t="str">
        <f t="shared" si="3"/>
        <v>Topguns Cricket Club</v>
      </c>
      <c r="F122" s="40"/>
      <c r="G122" s="29" t="str">
        <f t="shared" si="4"/>
        <v>Batboys</v>
      </c>
      <c r="H122" s="40"/>
      <c r="I122" s="29" t="str">
        <f t="shared" si="5"/>
        <v>Both Pending</v>
      </c>
      <c r="J122" s="29"/>
    </row>
    <row r="123" spans="1:10" ht="22.05" customHeight="1" x14ac:dyDescent="0.45">
      <c r="A123" s="39" t="str">
        <f>IF(OR('Ground Schedule'!A28="",'Ground Schedule'!J28=""),"",'Ground Schedule'!A28)</f>
        <v/>
      </c>
      <c r="B123" s="29" t="str">
        <f>IF(A123="","",'Ground Schedule'!C28)</f>
        <v/>
      </c>
      <c r="C123" s="29" t="str">
        <f>IF(A123="","",'Ground Schedule'!J$4)</f>
        <v/>
      </c>
      <c r="D123" s="29" t="str">
        <f>IF(A123="","",'Ground Schedule'!J28)</f>
        <v/>
      </c>
      <c r="E123" s="29" t="str">
        <f t="shared" si="3"/>
        <v/>
      </c>
      <c r="F123" s="40"/>
      <c r="G123" s="29" t="str">
        <f t="shared" si="4"/>
        <v/>
      </c>
      <c r="H123" s="40"/>
      <c r="I123" s="29" t="str">
        <f t="shared" si="5"/>
        <v/>
      </c>
      <c r="J123" s="29"/>
    </row>
    <row r="124" spans="1:10" ht="22.05" customHeight="1" x14ac:dyDescent="0.45">
      <c r="A124" s="39" t="str">
        <f>IF(OR('Ground Schedule'!A29="",'Ground Schedule'!F29=""),"",'Ground Schedule'!A29)</f>
        <v/>
      </c>
      <c r="B124" s="29" t="str">
        <f>IF(A124="","",'Ground Schedule'!C29)</f>
        <v/>
      </c>
      <c r="C124" s="29" t="str">
        <f>IF(A124="","",'Ground Schedule'!F$4)</f>
        <v/>
      </c>
      <c r="D124" s="29" t="str">
        <f>IF(A124="","",'Ground Schedule'!F29)</f>
        <v/>
      </c>
      <c r="E124" s="29" t="str">
        <f t="shared" si="3"/>
        <v/>
      </c>
      <c r="F124" s="40"/>
      <c r="G124" s="29" t="str">
        <f t="shared" si="4"/>
        <v/>
      </c>
      <c r="H124" s="40"/>
      <c r="I124" s="29" t="str">
        <f t="shared" si="5"/>
        <v/>
      </c>
      <c r="J124" s="29"/>
    </row>
    <row r="125" spans="1:10" ht="22.05" customHeight="1" x14ac:dyDescent="0.45">
      <c r="A125" s="39" t="str">
        <f>IF(OR('Ground Schedule'!A29="",'Ground Schedule'!G29=""),"",'Ground Schedule'!A29)</f>
        <v/>
      </c>
      <c r="B125" s="29" t="str">
        <f>IF(A125="","",'Ground Schedule'!C29)</f>
        <v/>
      </c>
      <c r="C125" s="29" t="str">
        <f>IF(A125="","",'Ground Schedule'!G$4)</f>
        <v/>
      </c>
      <c r="D125" s="29" t="str">
        <f>IF(A125="","",'Ground Schedule'!G29)</f>
        <v/>
      </c>
      <c r="E125" s="29" t="str">
        <f t="shared" si="3"/>
        <v/>
      </c>
      <c r="F125" s="40"/>
      <c r="G125" s="29" t="str">
        <f t="shared" si="4"/>
        <v/>
      </c>
      <c r="H125" s="40"/>
      <c r="I125" s="29" t="str">
        <f t="shared" si="5"/>
        <v/>
      </c>
      <c r="J125" s="29"/>
    </row>
    <row r="126" spans="1:10" ht="22.05" customHeight="1" x14ac:dyDescent="0.45">
      <c r="A126" s="39" t="str">
        <f>IF(OR('Ground Schedule'!A29="",'Ground Schedule'!H29=""),"",'Ground Schedule'!A29)</f>
        <v/>
      </c>
      <c r="B126" s="29" t="str">
        <f>IF(A126="","",'Ground Schedule'!C29)</f>
        <v/>
      </c>
      <c r="C126" s="29" t="str">
        <f>IF(A126="","",'Ground Schedule'!H$4)</f>
        <v/>
      </c>
      <c r="D126" s="29" t="str">
        <f>IF(A126="","",'Ground Schedule'!H29)</f>
        <v/>
      </c>
      <c r="E126" s="29" t="str">
        <f t="shared" si="3"/>
        <v/>
      </c>
      <c r="F126" s="40"/>
      <c r="G126" s="29" t="str">
        <f t="shared" si="4"/>
        <v/>
      </c>
      <c r="H126" s="40"/>
      <c r="I126" s="29" t="str">
        <f t="shared" si="5"/>
        <v/>
      </c>
      <c r="J126" s="29"/>
    </row>
    <row r="127" spans="1:10" ht="22.05" customHeight="1" x14ac:dyDescent="0.45">
      <c r="A127" s="39" t="str">
        <f>IF(OR('Ground Schedule'!A29="",'Ground Schedule'!I29=""),"",'Ground Schedule'!A29)</f>
        <v/>
      </c>
      <c r="B127" s="29" t="str">
        <f>IF(A127="","",'Ground Schedule'!C29)</f>
        <v/>
      </c>
      <c r="C127" s="29" t="str">
        <f>IF(A127="","",'Ground Schedule'!I$4)</f>
        <v/>
      </c>
      <c r="D127" s="29" t="str">
        <f>IF(A127="","",'Ground Schedule'!I29)</f>
        <v/>
      </c>
      <c r="E127" s="29" t="str">
        <f t="shared" si="3"/>
        <v/>
      </c>
      <c r="F127" s="40"/>
      <c r="G127" s="29" t="str">
        <f t="shared" si="4"/>
        <v/>
      </c>
      <c r="H127" s="40"/>
      <c r="I127" s="29" t="str">
        <f t="shared" si="5"/>
        <v/>
      </c>
      <c r="J127" s="29"/>
    </row>
    <row r="128" spans="1:10" ht="22.05" customHeight="1" x14ac:dyDescent="0.45">
      <c r="A128" s="39" t="str">
        <f>IF(OR('Ground Schedule'!A29="",'Ground Schedule'!J29=""),"",'Ground Schedule'!A29)</f>
        <v/>
      </c>
      <c r="B128" s="29" t="str">
        <f>IF(A128="","",'Ground Schedule'!C29)</f>
        <v/>
      </c>
      <c r="C128" s="29" t="str">
        <f>IF(A128="","",'Ground Schedule'!J$4)</f>
        <v/>
      </c>
      <c r="D128" s="29" t="str">
        <f>IF(A128="","",'Ground Schedule'!J29)</f>
        <v/>
      </c>
      <c r="E128" s="29" t="str">
        <f t="shared" si="3"/>
        <v/>
      </c>
      <c r="F128" s="40"/>
      <c r="G128" s="29" t="str">
        <f t="shared" si="4"/>
        <v/>
      </c>
      <c r="H128" s="40"/>
      <c r="I128" s="29" t="str">
        <f t="shared" si="5"/>
        <v/>
      </c>
      <c r="J128" s="29"/>
    </row>
    <row r="129" spans="1:10" ht="22.05" customHeight="1" x14ac:dyDescent="0.45">
      <c r="A129" s="39" t="str">
        <f>IF(OR('Ground Schedule'!A30="",'Ground Schedule'!F30=""),"",'Ground Schedule'!A30)</f>
        <v/>
      </c>
      <c r="B129" s="29" t="str">
        <f>IF(A129="","",'Ground Schedule'!C30)</f>
        <v/>
      </c>
      <c r="C129" s="29" t="str">
        <f>IF(A129="","",'Ground Schedule'!F$4)</f>
        <v/>
      </c>
      <c r="D129" s="29" t="str">
        <f>IF(A129="","",'Ground Schedule'!F30)</f>
        <v/>
      </c>
      <c r="E129" s="29" t="str">
        <f t="shared" si="3"/>
        <v/>
      </c>
      <c r="F129" s="40"/>
      <c r="G129" s="29" t="str">
        <f t="shared" si="4"/>
        <v/>
      </c>
      <c r="H129" s="40"/>
      <c r="I129" s="29" t="str">
        <f t="shared" si="5"/>
        <v/>
      </c>
      <c r="J129" s="29"/>
    </row>
    <row r="130" spans="1:10" ht="22.05" customHeight="1" x14ac:dyDescent="0.45">
      <c r="A130" s="39" t="str">
        <f>IF(OR('Ground Schedule'!A30="",'Ground Schedule'!G30=""),"",'Ground Schedule'!A30)</f>
        <v/>
      </c>
      <c r="B130" s="29" t="str">
        <f>IF(A130="","",'Ground Schedule'!C30)</f>
        <v/>
      </c>
      <c r="C130" s="29" t="str">
        <f>IF(A130="","",'Ground Schedule'!G$4)</f>
        <v/>
      </c>
      <c r="D130" s="29" t="str">
        <f>IF(A130="","",'Ground Schedule'!G30)</f>
        <v/>
      </c>
      <c r="E130" s="29" t="str">
        <f t="shared" si="3"/>
        <v/>
      </c>
      <c r="F130" s="40"/>
      <c r="G130" s="29" t="str">
        <f t="shared" si="4"/>
        <v/>
      </c>
      <c r="H130" s="40"/>
      <c r="I130" s="29" t="str">
        <f t="shared" si="5"/>
        <v/>
      </c>
      <c r="J130" s="29"/>
    </row>
    <row r="131" spans="1:10" ht="22.05" customHeight="1" x14ac:dyDescent="0.45">
      <c r="A131" s="39" t="str">
        <f>IF(OR('Ground Schedule'!A30="",'Ground Schedule'!H30=""),"",'Ground Schedule'!A30)</f>
        <v/>
      </c>
      <c r="B131" s="29" t="str">
        <f>IF(A131="","",'Ground Schedule'!C30)</f>
        <v/>
      </c>
      <c r="C131" s="29" t="str">
        <f>IF(A131="","",'Ground Schedule'!H$4)</f>
        <v/>
      </c>
      <c r="D131" s="29" t="str">
        <f>IF(A131="","",'Ground Schedule'!H30)</f>
        <v/>
      </c>
      <c r="E131" s="29" t="str">
        <f t="shared" si="3"/>
        <v/>
      </c>
      <c r="F131" s="40"/>
      <c r="G131" s="29" t="str">
        <f t="shared" si="4"/>
        <v/>
      </c>
      <c r="H131" s="40"/>
      <c r="I131" s="29" t="str">
        <f t="shared" si="5"/>
        <v/>
      </c>
      <c r="J131" s="29"/>
    </row>
    <row r="132" spans="1:10" ht="22.05" customHeight="1" x14ac:dyDescent="0.45">
      <c r="A132" s="39">
        <f>IF(OR('Ground Schedule'!A30="",'Ground Schedule'!I30=""),"",'Ground Schedule'!A30)</f>
        <v>46334</v>
      </c>
      <c r="B132" s="29" t="str">
        <f>IF(A132="","",'Ground Schedule'!C30)</f>
        <v>Lords of Maval</v>
      </c>
      <c r="C132" s="29" t="str">
        <f>IF(A132="","",'Ground Schedule'!I$4)</f>
        <v>02:00 PM Slot</v>
      </c>
      <c r="D132" s="29" t="str">
        <f>IF(A132="","",'Ground Schedule'!I30)</f>
        <v>Scoring Swords vs Royals XI</v>
      </c>
      <c r="E132" s="29" t="str">
        <f t="shared" ref="E132:E195" si="6">IFERROR(TRIM(LEFT(D132,SEARCH(" vs ",D132)-1)),"")</f>
        <v>Scoring Swords</v>
      </c>
      <c r="F132" s="40"/>
      <c r="G132" s="29" t="str">
        <f t="shared" ref="G132:G195" si="7">IFERROR(TRIM(MID(D132,SEARCH(" vs ",D132)+4,LEN(D132))),"")</f>
        <v>Royals XI</v>
      </c>
      <c r="H132" s="40"/>
      <c r="I132" s="29" t="str">
        <f t="shared" ref="I132:I195" si="8">IF(OR(E132="",G132=""),"",IF(AND(F132="Paid",H132="Paid"),"Both Paid",IF(AND(OR(F132="Pending",F132=""),OR(H132="Pending",H132="")),"Both Pending",IF(AND(F132="Not Applicable",H132="Not Applicable"),"Not Applicable",IF(OR(F132="Paid",H132="Paid"),"Partially Paid","Pending")))))</f>
        <v>Both Pending</v>
      </c>
      <c r="J132" s="29"/>
    </row>
    <row r="133" spans="1:10" ht="22.05" customHeight="1" x14ac:dyDescent="0.45">
      <c r="A133" s="39" t="str">
        <f>IF(OR('Ground Schedule'!A30="",'Ground Schedule'!J30=""),"",'Ground Schedule'!A30)</f>
        <v/>
      </c>
      <c r="B133" s="29" t="str">
        <f>IF(A133="","",'Ground Schedule'!C30)</f>
        <v/>
      </c>
      <c r="C133" s="29" t="str">
        <f>IF(A133="","",'Ground Schedule'!J$4)</f>
        <v/>
      </c>
      <c r="D133" s="29" t="str">
        <f>IF(A133="","",'Ground Schedule'!J30)</f>
        <v/>
      </c>
      <c r="E133" s="29" t="str">
        <f t="shared" si="6"/>
        <v/>
      </c>
      <c r="F133" s="40"/>
      <c r="G133" s="29" t="str">
        <f t="shared" si="7"/>
        <v/>
      </c>
      <c r="H133" s="40"/>
      <c r="I133" s="29" t="str">
        <f t="shared" si="8"/>
        <v/>
      </c>
      <c r="J133" s="29"/>
    </row>
    <row r="134" spans="1:10" ht="22.05" customHeight="1" x14ac:dyDescent="0.45">
      <c r="A134" s="39" t="str">
        <f>IF(OR('Ground Schedule'!A31="",'Ground Schedule'!F31=""),"",'Ground Schedule'!A31)</f>
        <v/>
      </c>
      <c r="B134" s="29" t="str">
        <f>IF(A134="","",'Ground Schedule'!C31)</f>
        <v/>
      </c>
      <c r="C134" s="29" t="str">
        <f>IF(A134="","",'Ground Schedule'!F$4)</f>
        <v/>
      </c>
      <c r="D134" s="29" t="str">
        <f>IF(A134="","",'Ground Schedule'!F31)</f>
        <v/>
      </c>
      <c r="E134" s="29" t="str">
        <f t="shared" si="6"/>
        <v/>
      </c>
      <c r="F134" s="40"/>
      <c r="G134" s="29" t="str">
        <f t="shared" si="7"/>
        <v/>
      </c>
      <c r="H134" s="40"/>
      <c r="I134" s="29" t="str">
        <f t="shared" si="8"/>
        <v/>
      </c>
      <c r="J134" s="29"/>
    </row>
    <row r="135" spans="1:10" ht="22.05" customHeight="1" x14ac:dyDescent="0.45">
      <c r="A135" s="39" t="str">
        <f>IF(OR('Ground Schedule'!A31="",'Ground Schedule'!G31=""),"",'Ground Schedule'!A31)</f>
        <v/>
      </c>
      <c r="B135" s="29" t="str">
        <f>IF(A135="","",'Ground Schedule'!C31)</f>
        <v/>
      </c>
      <c r="C135" s="29" t="str">
        <f>IF(A135="","",'Ground Schedule'!G$4)</f>
        <v/>
      </c>
      <c r="D135" s="29" t="str">
        <f>IF(A135="","",'Ground Schedule'!G31)</f>
        <v/>
      </c>
      <c r="E135" s="29" t="str">
        <f t="shared" si="6"/>
        <v/>
      </c>
      <c r="F135" s="40"/>
      <c r="G135" s="29" t="str">
        <f t="shared" si="7"/>
        <v/>
      </c>
      <c r="H135" s="40"/>
      <c r="I135" s="29" t="str">
        <f t="shared" si="8"/>
        <v/>
      </c>
      <c r="J135" s="29"/>
    </row>
    <row r="136" spans="1:10" ht="22.05" customHeight="1" x14ac:dyDescent="0.45">
      <c r="A136" s="39" t="str">
        <f>IF(OR('Ground Schedule'!A31="",'Ground Schedule'!H31=""),"",'Ground Schedule'!A31)</f>
        <v/>
      </c>
      <c r="B136" s="29" t="str">
        <f>IF(A136="","",'Ground Schedule'!C31)</f>
        <v/>
      </c>
      <c r="C136" s="29" t="str">
        <f>IF(A136="","",'Ground Schedule'!H$4)</f>
        <v/>
      </c>
      <c r="D136" s="29" t="str">
        <f>IF(A136="","",'Ground Schedule'!H31)</f>
        <v/>
      </c>
      <c r="E136" s="29" t="str">
        <f t="shared" si="6"/>
        <v/>
      </c>
      <c r="F136" s="40"/>
      <c r="G136" s="29" t="str">
        <f t="shared" si="7"/>
        <v/>
      </c>
      <c r="H136" s="40"/>
      <c r="I136" s="29" t="str">
        <f t="shared" si="8"/>
        <v/>
      </c>
      <c r="J136" s="29"/>
    </row>
    <row r="137" spans="1:10" ht="22.05" customHeight="1" x14ac:dyDescent="0.45">
      <c r="A137" s="39" t="str">
        <f>IF(OR('Ground Schedule'!A31="",'Ground Schedule'!I31=""),"",'Ground Schedule'!A31)</f>
        <v/>
      </c>
      <c r="B137" s="29" t="str">
        <f>IF(A137="","",'Ground Schedule'!C31)</f>
        <v/>
      </c>
      <c r="C137" s="29" t="str">
        <f>IF(A137="","",'Ground Schedule'!I$4)</f>
        <v/>
      </c>
      <c r="D137" s="29" t="str">
        <f>IF(A137="","",'Ground Schedule'!I31)</f>
        <v/>
      </c>
      <c r="E137" s="29" t="str">
        <f t="shared" si="6"/>
        <v/>
      </c>
      <c r="F137" s="40"/>
      <c r="G137" s="29" t="str">
        <f t="shared" si="7"/>
        <v/>
      </c>
      <c r="H137" s="40"/>
      <c r="I137" s="29" t="str">
        <f t="shared" si="8"/>
        <v/>
      </c>
      <c r="J137" s="29"/>
    </row>
    <row r="138" spans="1:10" ht="22.05" customHeight="1" x14ac:dyDescent="0.45">
      <c r="A138" s="39" t="str">
        <f>IF(OR('Ground Schedule'!A31="",'Ground Schedule'!J31=""),"",'Ground Schedule'!A31)</f>
        <v/>
      </c>
      <c r="B138" s="29" t="str">
        <f>IF(A138="","",'Ground Schedule'!C31)</f>
        <v/>
      </c>
      <c r="C138" s="29" t="str">
        <f>IF(A138="","",'Ground Schedule'!J$4)</f>
        <v/>
      </c>
      <c r="D138" s="29" t="str">
        <f>IF(A138="","",'Ground Schedule'!J31)</f>
        <v/>
      </c>
      <c r="E138" s="29" t="str">
        <f t="shared" si="6"/>
        <v/>
      </c>
      <c r="F138" s="40"/>
      <c r="G138" s="29" t="str">
        <f t="shared" si="7"/>
        <v/>
      </c>
      <c r="H138" s="40"/>
      <c r="I138" s="29" t="str">
        <f t="shared" si="8"/>
        <v/>
      </c>
      <c r="J138" s="29"/>
    </row>
    <row r="139" spans="1:10" ht="22.05" customHeight="1" x14ac:dyDescent="0.45">
      <c r="A139" s="39" t="str">
        <f>IF(OR('Ground Schedule'!A32="",'Ground Schedule'!F32=""),"",'Ground Schedule'!A32)</f>
        <v/>
      </c>
      <c r="B139" s="29" t="str">
        <f>IF(A139="","",'Ground Schedule'!C32)</f>
        <v/>
      </c>
      <c r="C139" s="29" t="str">
        <f>IF(A139="","",'Ground Schedule'!F$4)</f>
        <v/>
      </c>
      <c r="D139" s="29" t="str">
        <f>IF(A139="","",'Ground Schedule'!F32)</f>
        <v/>
      </c>
      <c r="E139" s="29" t="str">
        <f t="shared" si="6"/>
        <v/>
      </c>
      <c r="F139" s="40"/>
      <c r="G139" s="29" t="str">
        <f t="shared" si="7"/>
        <v/>
      </c>
      <c r="H139" s="40"/>
      <c r="I139" s="29" t="str">
        <f t="shared" si="8"/>
        <v/>
      </c>
      <c r="J139" s="29"/>
    </row>
    <row r="140" spans="1:10" ht="22.05" customHeight="1" x14ac:dyDescent="0.45">
      <c r="A140" s="39">
        <f>IF(OR('Ground Schedule'!A32="",'Ground Schedule'!G32=""),"",'Ground Schedule'!A32)</f>
        <v>46340</v>
      </c>
      <c r="B140" s="29" t="str">
        <f>IF(A140="","",'Ground Schedule'!C32)</f>
        <v>Lords of Maval</v>
      </c>
      <c r="C140" s="29" t="str">
        <f>IF(A140="","",'Ground Schedule'!G$4)</f>
        <v>10:30 AM Slot</v>
      </c>
      <c r="D140" s="29" t="str">
        <f>IF(A140="","",'Ground Schedule'!G32)</f>
        <v>Scoring Swords vs Hitman Sports</v>
      </c>
      <c r="E140" s="29" t="str">
        <f t="shared" si="6"/>
        <v>Scoring Swords</v>
      </c>
      <c r="F140" s="40"/>
      <c r="G140" s="29" t="str">
        <f t="shared" si="7"/>
        <v>Hitman Sports</v>
      </c>
      <c r="H140" s="40"/>
      <c r="I140" s="29" t="str">
        <f t="shared" si="8"/>
        <v>Both Pending</v>
      </c>
      <c r="J140" s="29"/>
    </row>
    <row r="141" spans="1:10" ht="22.05" customHeight="1" x14ac:dyDescent="0.45">
      <c r="A141" s="39" t="str">
        <f>IF(OR('Ground Schedule'!A32="",'Ground Schedule'!H32=""),"",'Ground Schedule'!A32)</f>
        <v/>
      </c>
      <c r="B141" s="29" t="str">
        <f>IF(A141="","",'Ground Schedule'!C32)</f>
        <v/>
      </c>
      <c r="C141" s="29" t="str">
        <f>IF(A141="","",'Ground Schedule'!H$4)</f>
        <v/>
      </c>
      <c r="D141" s="29" t="str">
        <f>IF(A141="","",'Ground Schedule'!H32)</f>
        <v/>
      </c>
      <c r="E141" s="29" t="str">
        <f t="shared" si="6"/>
        <v/>
      </c>
      <c r="F141" s="40"/>
      <c r="G141" s="29" t="str">
        <f t="shared" si="7"/>
        <v/>
      </c>
      <c r="H141" s="40"/>
      <c r="I141" s="29" t="str">
        <f t="shared" si="8"/>
        <v/>
      </c>
      <c r="J141" s="29"/>
    </row>
    <row r="142" spans="1:10" ht="22.05" customHeight="1" x14ac:dyDescent="0.45">
      <c r="A142" s="39">
        <f>IF(OR('Ground Schedule'!A32="",'Ground Schedule'!I32=""),"",'Ground Schedule'!A32)</f>
        <v>46340</v>
      </c>
      <c r="B142" s="29" t="str">
        <f>IF(A142="","",'Ground Schedule'!C32)</f>
        <v>Lords of Maval</v>
      </c>
      <c r="C142" s="29" t="str">
        <f>IF(A142="","",'Ground Schedule'!I$4)</f>
        <v>02:00 PM Slot</v>
      </c>
      <c r="D142" s="29" t="str">
        <f>IF(A142="","",'Ground Schedule'!I32)</f>
        <v>Titan Wolves vs OM Cricket Club</v>
      </c>
      <c r="E142" s="29" t="str">
        <f t="shared" si="6"/>
        <v>Titan Wolves</v>
      </c>
      <c r="F142" s="40"/>
      <c r="G142" s="29" t="str">
        <f t="shared" si="7"/>
        <v>OM Cricket Club</v>
      </c>
      <c r="H142" s="40"/>
      <c r="I142" s="29" t="str">
        <f t="shared" si="8"/>
        <v>Both Pending</v>
      </c>
      <c r="J142" s="29"/>
    </row>
    <row r="143" spans="1:10" ht="22.05" customHeight="1" x14ac:dyDescent="0.45">
      <c r="A143" s="39" t="str">
        <f>IF(OR('Ground Schedule'!A32="",'Ground Schedule'!J32=""),"",'Ground Schedule'!A32)</f>
        <v/>
      </c>
      <c r="B143" s="29" t="str">
        <f>IF(A143="","",'Ground Schedule'!C32)</f>
        <v/>
      </c>
      <c r="C143" s="29" t="str">
        <f>IF(A143="","",'Ground Schedule'!J$4)</f>
        <v/>
      </c>
      <c r="D143" s="29" t="str">
        <f>IF(A143="","",'Ground Schedule'!J32)</f>
        <v/>
      </c>
      <c r="E143" s="29" t="str">
        <f t="shared" si="6"/>
        <v/>
      </c>
      <c r="F143" s="40"/>
      <c r="G143" s="29" t="str">
        <f t="shared" si="7"/>
        <v/>
      </c>
      <c r="H143" s="40"/>
      <c r="I143" s="29" t="str">
        <f t="shared" si="8"/>
        <v/>
      </c>
      <c r="J143" s="29"/>
    </row>
    <row r="144" spans="1:10" ht="22.05" customHeight="1" x14ac:dyDescent="0.45">
      <c r="A144" s="39" t="str">
        <f>IF(OR('Ground Schedule'!A33="",'Ground Schedule'!F33=""),"",'Ground Schedule'!A33)</f>
        <v/>
      </c>
      <c r="B144" s="29" t="str">
        <f>IF(A144="","",'Ground Schedule'!C33)</f>
        <v/>
      </c>
      <c r="C144" s="29" t="str">
        <f>IF(A144="","",'Ground Schedule'!F$4)</f>
        <v/>
      </c>
      <c r="D144" s="29" t="str">
        <f>IF(A144="","",'Ground Schedule'!F33)</f>
        <v/>
      </c>
      <c r="E144" s="29" t="str">
        <f t="shared" si="6"/>
        <v/>
      </c>
      <c r="F144" s="40"/>
      <c r="G144" s="29" t="str">
        <f t="shared" si="7"/>
        <v/>
      </c>
      <c r="H144" s="40"/>
      <c r="I144" s="29" t="str">
        <f t="shared" si="8"/>
        <v/>
      </c>
      <c r="J144" s="29"/>
    </row>
    <row r="145" spans="1:10" ht="22.05" customHeight="1" x14ac:dyDescent="0.45">
      <c r="A145" s="39" t="str">
        <f>IF(OR('Ground Schedule'!A33="",'Ground Schedule'!G33=""),"",'Ground Schedule'!A33)</f>
        <v/>
      </c>
      <c r="B145" s="29" t="str">
        <f>IF(A145="","",'Ground Schedule'!C33)</f>
        <v/>
      </c>
      <c r="C145" s="29" t="str">
        <f>IF(A145="","",'Ground Schedule'!G$4)</f>
        <v/>
      </c>
      <c r="D145" s="29" t="str">
        <f>IF(A145="","",'Ground Schedule'!G33)</f>
        <v/>
      </c>
      <c r="E145" s="29" t="str">
        <f t="shared" si="6"/>
        <v/>
      </c>
      <c r="F145" s="40"/>
      <c r="G145" s="29" t="str">
        <f t="shared" si="7"/>
        <v/>
      </c>
      <c r="H145" s="40"/>
      <c r="I145" s="29" t="str">
        <f t="shared" si="8"/>
        <v/>
      </c>
      <c r="J145" s="29"/>
    </row>
    <row r="146" spans="1:10" ht="22.05" customHeight="1" x14ac:dyDescent="0.45">
      <c r="A146" s="39" t="str">
        <f>IF(OR('Ground Schedule'!A33="",'Ground Schedule'!H33=""),"",'Ground Schedule'!A33)</f>
        <v/>
      </c>
      <c r="B146" s="29" t="str">
        <f>IF(A146="","",'Ground Schedule'!C33)</f>
        <v/>
      </c>
      <c r="C146" s="29" t="str">
        <f>IF(A146="","",'Ground Schedule'!H$4)</f>
        <v/>
      </c>
      <c r="D146" s="29" t="str">
        <f>IF(A146="","",'Ground Schedule'!H33)</f>
        <v/>
      </c>
      <c r="E146" s="29" t="str">
        <f t="shared" si="6"/>
        <v/>
      </c>
      <c r="F146" s="40"/>
      <c r="G146" s="29" t="str">
        <f t="shared" si="7"/>
        <v/>
      </c>
      <c r="H146" s="40"/>
      <c r="I146" s="29" t="str">
        <f t="shared" si="8"/>
        <v/>
      </c>
      <c r="J146" s="29"/>
    </row>
    <row r="147" spans="1:10" ht="22.05" customHeight="1" x14ac:dyDescent="0.45">
      <c r="A147" s="39" t="str">
        <f>IF(OR('Ground Schedule'!A33="",'Ground Schedule'!I33=""),"",'Ground Schedule'!A33)</f>
        <v/>
      </c>
      <c r="B147" s="29" t="str">
        <f>IF(A147="","",'Ground Schedule'!C33)</f>
        <v/>
      </c>
      <c r="C147" s="29" t="str">
        <f>IF(A147="","",'Ground Schedule'!I$4)</f>
        <v/>
      </c>
      <c r="D147" s="29" t="str">
        <f>IF(A147="","",'Ground Schedule'!I33)</f>
        <v/>
      </c>
      <c r="E147" s="29" t="str">
        <f t="shared" si="6"/>
        <v/>
      </c>
      <c r="F147" s="40"/>
      <c r="G147" s="29" t="str">
        <f t="shared" si="7"/>
        <v/>
      </c>
      <c r="H147" s="40"/>
      <c r="I147" s="29" t="str">
        <f t="shared" si="8"/>
        <v/>
      </c>
      <c r="J147" s="29"/>
    </row>
    <row r="148" spans="1:10" ht="22.05" customHeight="1" x14ac:dyDescent="0.45">
      <c r="A148" s="39" t="str">
        <f>IF(OR('Ground Schedule'!A33="",'Ground Schedule'!J33=""),"",'Ground Schedule'!A33)</f>
        <v/>
      </c>
      <c r="B148" s="29" t="str">
        <f>IF(A148="","",'Ground Schedule'!C33)</f>
        <v/>
      </c>
      <c r="C148" s="29" t="str">
        <f>IF(A148="","",'Ground Schedule'!J$4)</f>
        <v/>
      </c>
      <c r="D148" s="29" t="str">
        <f>IF(A148="","",'Ground Schedule'!J33)</f>
        <v/>
      </c>
      <c r="E148" s="29" t="str">
        <f t="shared" si="6"/>
        <v/>
      </c>
      <c r="F148" s="40"/>
      <c r="G148" s="29" t="str">
        <f t="shared" si="7"/>
        <v/>
      </c>
      <c r="H148" s="40"/>
      <c r="I148" s="29" t="str">
        <f t="shared" si="8"/>
        <v/>
      </c>
      <c r="J148" s="29"/>
    </row>
    <row r="149" spans="1:10" ht="22.05" customHeight="1" x14ac:dyDescent="0.45">
      <c r="A149" s="39" t="str">
        <f>IF(OR('Ground Schedule'!A34="",'Ground Schedule'!F34=""),"",'Ground Schedule'!A34)</f>
        <v/>
      </c>
      <c r="B149" s="29" t="str">
        <f>IF(A149="","",'Ground Schedule'!C34)</f>
        <v/>
      </c>
      <c r="C149" s="29" t="str">
        <f>IF(A149="","",'Ground Schedule'!F$4)</f>
        <v/>
      </c>
      <c r="D149" s="29" t="str">
        <f>IF(A149="","",'Ground Schedule'!F34)</f>
        <v/>
      </c>
      <c r="E149" s="29" t="str">
        <f t="shared" si="6"/>
        <v/>
      </c>
      <c r="F149" s="40"/>
      <c r="G149" s="29" t="str">
        <f t="shared" si="7"/>
        <v/>
      </c>
      <c r="H149" s="40"/>
      <c r="I149" s="29" t="str">
        <f t="shared" si="8"/>
        <v/>
      </c>
      <c r="J149" s="29"/>
    </row>
    <row r="150" spans="1:10" ht="22.05" customHeight="1" x14ac:dyDescent="0.45">
      <c r="A150" s="39" t="str">
        <f>IF(OR('Ground Schedule'!A34="",'Ground Schedule'!G34=""),"",'Ground Schedule'!A34)</f>
        <v/>
      </c>
      <c r="B150" s="29" t="str">
        <f>IF(A150="","",'Ground Schedule'!C34)</f>
        <v/>
      </c>
      <c r="C150" s="29" t="str">
        <f>IF(A150="","",'Ground Schedule'!G$4)</f>
        <v/>
      </c>
      <c r="D150" s="29" t="str">
        <f>IF(A150="","",'Ground Schedule'!G34)</f>
        <v/>
      </c>
      <c r="E150" s="29" t="str">
        <f t="shared" si="6"/>
        <v/>
      </c>
      <c r="F150" s="40"/>
      <c r="G150" s="29" t="str">
        <f t="shared" si="7"/>
        <v/>
      </c>
      <c r="H150" s="40"/>
      <c r="I150" s="29" t="str">
        <f t="shared" si="8"/>
        <v/>
      </c>
      <c r="J150" s="29"/>
    </row>
    <row r="151" spans="1:10" ht="22.05" customHeight="1" x14ac:dyDescent="0.45">
      <c r="A151" s="39" t="str">
        <f>IF(OR('Ground Schedule'!A34="",'Ground Schedule'!H34=""),"",'Ground Schedule'!A34)</f>
        <v/>
      </c>
      <c r="B151" s="29" t="str">
        <f>IF(A151="","",'Ground Schedule'!C34)</f>
        <v/>
      </c>
      <c r="C151" s="29" t="str">
        <f>IF(A151="","",'Ground Schedule'!H$4)</f>
        <v/>
      </c>
      <c r="D151" s="29" t="str">
        <f>IF(A151="","",'Ground Schedule'!H34)</f>
        <v/>
      </c>
      <c r="E151" s="29" t="str">
        <f t="shared" si="6"/>
        <v/>
      </c>
      <c r="F151" s="40"/>
      <c r="G151" s="29" t="str">
        <f t="shared" si="7"/>
        <v/>
      </c>
      <c r="H151" s="40"/>
      <c r="I151" s="29" t="str">
        <f t="shared" si="8"/>
        <v/>
      </c>
      <c r="J151" s="29"/>
    </row>
    <row r="152" spans="1:10" ht="22.05" customHeight="1" x14ac:dyDescent="0.45">
      <c r="A152" s="39">
        <f>IF(OR('Ground Schedule'!A34="",'Ground Schedule'!I34=""),"",'Ground Schedule'!A34)</f>
        <v>46341</v>
      </c>
      <c r="B152" s="29" t="str">
        <f>IF(A152="","",'Ground Schedule'!C34)</f>
        <v>Lords of Maval</v>
      </c>
      <c r="C152" s="29" t="str">
        <f>IF(A152="","",'Ground Schedule'!I$4)</f>
        <v>02:00 PM Slot</v>
      </c>
      <c r="D152" s="29" t="str">
        <f>IF(A152="","",'Ground Schedule'!I34)</f>
        <v>Pattern Strikers vs SCC United</v>
      </c>
      <c r="E152" s="29" t="str">
        <f t="shared" si="6"/>
        <v>Pattern Strikers</v>
      </c>
      <c r="F152" s="40"/>
      <c r="G152" s="29" t="str">
        <f t="shared" si="7"/>
        <v>SCC United</v>
      </c>
      <c r="H152" s="40"/>
      <c r="I152" s="29" t="str">
        <f t="shared" si="8"/>
        <v>Both Pending</v>
      </c>
      <c r="J152" s="29"/>
    </row>
    <row r="153" spans="1:10" ht="22.05" customHeight="1" x14ac:dyDescent="0.45">
      <c r="A153" s="39" t="str">
        <f>IF(OR('Ground Schedule'!A34="",'Ground Schedule'!J34=""),"",'Ground Schedule'!A34)</f>
        <v/>
      </c>
      <c r="B153" s="29" t="str">
        <f>IF(A153="","",'Ground Schedule'!C34)</f>
        <v/>
      </c>
      <c r="C153" s="29" t="str">
        <f>IF(A153="","",'Ground Schedule'!J$4)</f>
        <v/>
      </c>
      <c r="D153" s="29" t="str">
        <f>IF(A153="","",'Ground Schedule'!J34)</f>
        <v/>
      </c>
      <c r="E153" s="29" t="str">
        <f t="shared" si="6"/>
        <v/>
      </c>
      <c r="F153" s="40"/>
      <c r="G153" s="29" t="str">
        <f t="shared" si="7"/>
        <v/>
      </c>
      <c r="H153" s="40"/>
      <c r="I153" s="29" t="str">
        <f t="shared" si="8"/>
        <v/>
      </c>
      <c r="J153" s="29"/>
    </row>
    <row r="154" spans="1:10" ht="22.05" customHeight="1" x14ac:dyDescent="0.45">
      <c r="A154" s="39" t="str">
        <f>IF(OR('Ground Schedule'!A35="",'Ground Schedule'!F35=""),"",'Ground Schedule'!A35)</f>
        <v/>
      </c>
      <c r="B154" s="29" t="str">
        <f>IF(A154="","",'Ground Schedule'!C35)</f>
        <v/>
      </c>
      <c r="C154" s="29" t="str">
        <f>IF(A154="","",'Ground Schedule'!F$4)</f>
        <v/>
      </c>
      <c r="D154" s="29" t="str">
        <f>IF(A154="","",'Ground Schedule'!F35)</f>
        <v/>
      </c>
      <c r="E154" s="29" t="str">
        <f t="shared" si="6"/>
        <v/>
      </c>
      <c r="F154" s="40"/>
      <c r="G154" s="29" t="str">
        <f t="shared" si="7"/>
        <v/>
      </c>
      <c r="H154" s="40"/>
      <c r="I154" s="29" t="str">
        <f t="shared" si="8"/>
        <v/>
      </c>
      <c r="J154" s="29"/>
    </row>
    <row r="155" spans="1:10" ht="22.05" customHeight="1" x14ac:dyDescent="0.45">
      <c r="A155" s="39" t="str">
        <f>IF(OR('Ground Schedule'!A35="",'Ground Schedule'!G35=""),"",'Ground Schedule'!A35)</f>
        <v/>
      </c>
      <c r="B155" s="29" t="str">
        <f>IF(A155="","",'Ground Schedule'!C35)</f>
        <v/>
      </c>
      <c r="C155" s="29" t="str">
        <f>IF(A155="","",'Ground Schedule'!G$4)</f>
        <v/>
      </c>
      <c r="D155" s="29" t="str">
        <f>IF(A155="","",'Ground Schedule'!G35)</f>
        <v/>
      </c>
      <c r="E155" s="29" t="str">
        <f t="shared" si="6"/>
        <v/>
      </c>
      <c r="F155" s="40"/>
      <c r="G155" s="29" t="str">
        <f t="shared" si="7"/>
        <v/>
      </c>
      <c r="H155" s="40"/>
      <c r="I155" s="29" t="str">
        <f t="shared" si="8"/>
        <v/>
      </c>
      <c r="J155" s="29"/>
    </row>
    <row r="156" spans="1:10" ht="22.05" customHeight="1" x14ac:dyDescent="0.45">
      <c r="A156" s="39" t="str">
        <f>IF(OR('Ground Schedule'!A35="",'Ground Schedule'!H35=""),"",'Ground Schedule'!A35)</f>
        <v/>
      </c>
      <c r="B156" s="29" t="str">
        <f>IF(A156="","",'Ground Schedule'!C35)</f>
        <v/>
      </c>
      <c r="C156" s="29" t="str">
        <f>IF(A156="","",'Ground Schedule'!H$4)</f>
        <v/>
      </c>
      <c r="D156" s="29" t="str">
        <f>IF(A156="","",'Ground Schedule'!H35)</f>
        <v/>
      </c>
      <c r="E156" s="29" t="str">
        <f t="shared" si="6"/>
        <v/>
      </c>
      <c r="F156" s="40"/>
      <c r="G156" s="29" t="str">
        <f t="shared" si="7"/>
        <v/>
      </c>
      <c r="H156" s="40"/>
      <c r="I156" s="29" t="str">
        <f t="shared" si="8"/>
        <v/>
      </c>
      <c r="J156" s="29"/>
    </row>
    <row r="157" spans="1:10" ht="22.05" customHeight="1" x14ac:dyDescent="0.45">
      <c r="A157" s="39" t="str">
        <f>IF(OR('Ground Schedule'!A35="",'Ground Schedule'!I35=""),"",'Ground Schedule'!A35)</f>
        <v/>
      </c>
      <c r="B157" s="29" t="str">
        <f>IF(A157="","",'Ground Schedule'!C35)</f>
        <v/>
      </c>
      <c r="C157" s="29" t="str">
        <f>IF(A157="","",'Ground Schedule'!I$4)</f>
        <v/>
      </c>
      <c r="D157" s="29" t="str">
        <f>IF(A157="","",'Ground Schedule'!I35)</f>
        <v/>
      </c>
      <c r="E157" s="29" t="str">
        <f t="shared" si="6"/>
        <v/>
      </c>
      <c r="F157" s="40"/>
      <c r="G157" s="29" t="str">
        <f t="shared" si="7"/>
        <v/>
      </c>
      <c r="H157" s="40"/>
      <c r="I157" s="29" t="str">
        <f t="shared" si="8"/>
        <v/>
      </c>
      <c r="J157" s="29"/>
    </row>
    <row r="158" spans="1:10" ht="22.05" customHeight="1" x14ac:dyDescent="0.45">
      <c r="A158" s="39" t="str">
        <f>IF(OR('Ground Schedule'!A35="",'Ground Schedule'!J35=""),"",'Ground Schedule'!A35)</f>
        <v/>
      </c>
      <c r="B158" s="29" t="str">
        <f>IF(A158="","",'Ground Schedule'!C35)</f>
        <v/>
      </c>
      <c r="C158" s="29" t="str">
        <f>IF(A158="","",'Ground Schedule'!J$4)</f>
        <v/>
      </c>
      <c r="D158" s="29" t="str">
        <f>IF(A158="","",'Ground Schedule'!J35)</f>
        <v/>
      </c>
      <c r="E158" s="29" t="str">
        <f t="shared" si="6"/>
        <v/>
      </c>
      <c r="F158" s="40"/>
      <c r="G158" s="29" t="str">
        <f t="shared" si="7"/>
        <v/>
      </c>
      <c r="H158" s="40"/>
      <c r="I158" s="29" t="str">
        <f t="shared" si="8"/>
        <v/>
      </c>
      <c r="J158" s="29"/>
    </row>
    <row r="159" spans="1:10" ht="22.05" customHeight="1" x14ac:dyDescent="0.45">
      <c r="A159" s="39" t="str">
        <f>IF(OR('Ground Schedule'!A36="",'Ground Schedule'!F36=""),"",'Ground Schedule'!A36)</f>
        <v/>
      </c>
      <c r="B159" s="29" t="str">
        <f>IF(A159="","",'Ground Schedule'!C36)</f>
        <v/>
      </c>
      <c r="C159" s="29" t="str">
        <f>IF(A159="","",'Ground Schedule'!F$4)</f>
        <v/>
      </c>
      <c r="D159" s="29" t="str">
        <f>IF(A159="","",'Ground Schedule'!F36)</f>
        <v/>
      </c>
      <c r="E159" s="29" t="str">
        <f t="shared" si="6"/>
        <v/>
      </c>
      <c r="F159" s="40"/>
      <c r="G159" s="29" t="str">
        <f t="shared" si="7"/>
        <v/>
      </c>
      <c r="H159" s="40"/>
      <c r="I159" s="29" t="str">
        <f t="shared" si="8"/>
        <v/>
      </c>
      <c r="J159" s="29"/>
    </row>
    <row r="160" spans="1:10" ht="22.05" customHeight="1" x14ac:dyDescent="0.45">
      <c r="A160" s="39">
        <f>IF(OR('Ground Schedule'!A36="",'Ground Schedule'!G36=""),"",'Ground Schedule'!A36)</f>
        <v>46347</v>
      </c>
      <c r="B160" s="29" t="str">
        <f>IF(A160="","",'Ground Schedule'!C36)</f>
        <v>Lords of Maval</v>
      </c>
      <c r="C160" s="29" t="str">
        <f>IF(A160="","",'Ground Schedule'!G$4)</f>
        <v>10:30 AM Slot</v>
      </c>
      <c r="D160" s="29" t="str">
        <f>IF(A160="","",'Ground Schedule'!G36)</f>
        <v>Scoring Swords vs Boundary Line</v>
      </c>
      <c r="E160" s="29" t="str">
        <f t="shared" si="6"/>
        <v>Scoring Swords</v>
      </c>
      <c r="F160" s="40"/>
      <c r="G160" s="29" t="str">
        <f t="shared" si="7"/>
        <v>Boundary Line</v>
      </c>
      <c r="H160" s="40"/>
      <c r="I160" s="29" t="str">
        <f t="shared" si="8"/>
        <v>Both Pending</v>
      </c>
      <c r="J160" s="29"/>
    </row>
    <row r="161" spans="1:10" ht="22.05" customHeight="1" x14ac:dyDescent="0.45">
      <c r="A161" s="39" t="str">
        <f>IF(OR('Ground Schedule'!A36="",'Ground Schedule'!H36=""),"",'Ground Schedule'!A36)</f>
        <v/>
      </c>
      <c r="B161" s="29" t="str">
        <f>IF(A161="","",'Ground Schedule'!C36)</f>
        <v/>
      </c>
      <c r="C161" s="29" t="str">
        <f>IF(A161="","",'Ground Schedule'!H$4)</f>
        <v/>
      </c>
      <c r="D161" s="29" t="str">
        <f>IF(A161="","",'Ground Schedule'!H36)</f>
        <v/>
      </c>
      <c r="E161" s="29" t="str">
        <f t="shared" si="6"/>
        <v/>
      </c>
      <c r="F161" s="40"/>
      <c r="G161" s="29" t="str">
        <f t="shared" si="7"/>
        <v/>
      </c>
      <c r="H161" s="40"/>
      <c r="I161" s="29" t="str">
        <f t="shared" si="8"/>
        <v/>
      </c>
      <c r="J161" s="29"/>
    </row>
    <row r="162" spans="1:10" ht="22.05" customHeight="1" x14ac:dyDescent="0.45">
      <c r="A162" s="39">
        <f>IF(OR('Ground Schedule'!A36="",'Ground Schedule'!I36=""),"",'Ground Schedule'!A36)</f>
        <v>46347</v>
      </c>
      <c r="B162" s="29" t="str">
        <f>IF(A162="","",'Ground Schedule'!C36)</f>
        <v>Lords of Maval</v>
      </c>
      <c r="C162" s="29" t="str">
        <f>IF(A162="","",'Ground Schedule'!I$4)</f>
        <v>02:00 PM Slot</v>
      </c>
      <c r="D162" s="29" t="str">
        <f>IF(A162="","",'Ground Schedule'!I36)</f>
        <v>Vajra Vikings vs Titan Wolves</v>
      </c>
      <c r="E162" s="29" t="str">
        <f t="shared" si="6"/>
        <v>Vajra Vikings</v>
      </c>
      <c r="F162" s="40"/>
      <c r="G162" s="29" t="str">
        <f t="shared" si="7"/>
        <v>Titan Wolves</v>
      </c>
      <c r="H162" s="40"/>
      <c r="I162" s="29" t="str">
        <f t="shared" si="8"/>
        <v>Both Pending</v>
      </c>
      <c r="J162" s="29"/>
    </row>
    <row r="163" spans="1:10" ht="22.05" customHeight="1" x14ac:dyDescent="0.45">
      <c r="A163" s="39" t="str">
        <f>IF(OR('Ground Schedule'!A36="",'Ground Schedule'!J36=""),"",'Ground Schedule'!A36)</f>
        <v/>
      </c>
      <c r="B163" s="29" t="str">
        <f>IF(A163="","",'Ground Schedule'!C36)</f>
        <v/>
      </c>
      <c r="C163" s="29" t="str">
        <f>IF(A163="","",'Ground Schedule'!J$4)</f>
        <v/>
      </c>
      <c r="D163" s="29" t="str">
        <f>IF(A163="","",'Ground Schedule'!J36)</f>
        <v/>
      </c>
      <c r="E163" s="29" t="str">
        <f t="shared" si="6"/>
        <v/>
      </c>
      <c r="F163" s="40"/>
      <c r="G163" s="29" t="str">
        <f t="shared" si="7"/>
        <v/>
      </c>
      <c r="H163" s="40"/>
      <c r="I163" s="29" t="str">
        <f t="shared" si="8"/>
        <v/>
      </c>
      <c r="J163" s="29"/>
    </row>
    <row r="164" spans="1:10" ht="22.05" customHeight="1" x14ac:dyDescent="0.45">
      <c r="A164" s="39" t="str">
        <f>IF(OR('Ground Schedule'!A37="",'Ground Schedule'!F37=""),"",'Ground Schedule'!A37)</f>
        <v/>
      </c>
      <c r="B164" s="29" t="str">
        <f>IF(A164="","",'Ground Schedule'!C37)</f>
        <v/>
      </c>
      <c r="C164" s="29" t="str">
        <f>IF(A164="","",'Ground Schedule'!F$4)</f>
        <v/>
      </c>
      <c r="D164" s="29" t="str">
        <f>IF(A164="","",'Ground Schedule'!F37)</f>
        <v/>
      </c>
      <c r="E164" s="29" t="str">
        <f t="shared" si="6"/>
        <v/>
      </c>
      <c r="F164" s="40"/>
      <c r="G164" s="29" t="str">
        <f t="shared" si="7"/>
        <v/>
      </c>
      <c r="H164" s="40"/>
      <c r="I164" s="29" t="str">
        <f t="shared" si="8"/>
        <v/>
      </c>
      <c r="J164" s="29"/>
    </row>
    <row r="165" spans="1:10" ht="22.05" customHeight="1" x14ac:dyDescent="0.45">
      <c r="A165" s="39" t="str">
        <f>IF(OR('Ground Schedule'!A37="",'Ground Schedule'!G37=""),"",'Ground Schedule'!A37)</f>
        <v/>
      </c>
      <c r="B165" s="29" t="str">
        <f>IF(A165="","",'Ground Schedule'!C37)</f>
        <v/>
      </c>
      <c r="C165" s="29" t="str">
        <f>IF(A165="","",'Ground Schedule'!G$4)</f>
        <v/>
      </c>
      <c r="D165" s="29" t="str">
        <f>IF(A165="","",'Ground Schedule'!G37)</f>
        <v/>
      </c>
      <c r="E165" s="29" t="str">
        <f t="shared" si="6"/>
        <v/>
      </c>
      <c r="F165" s="40"/>
      <c r="G165" s="29" t="str">
        <f t="shared" si="7"/>
        <v/>
      </c>
      <c r="H165" s="40"/>
      <c r="I165" s="29" t="str">
        <f t="shared" si="8"/>
        <v/>
      </c>
      <c r="J165" s="29"/>
    </row>
    <row r="166" spans="1:10" ht="22.05" customHeight="1" x14ac:dyDescent="0.45">
      <c r="A166" s="39" t="str">
        <f>IF(OR('Ground Schedule'!A37="",'Ground Schedule'!H37=""),"",'Ground Schedule'!A37)</f>
        <v/>
      </c>
      <c r="B166" s="29" t="str">
        <f>IF(A166="","",'Ground Schedule'!C37)</f>
        <v/>
      </c>
      <c r="C166" s="29" t="str">
        <f>IF(A166="","",'Ground Schedule'!H$4)</f>
        <v/>
      </c>
      <c r="D166" s="29" t="str">
        <f>IF(A166="","",'Ground Schedule'!H37)</f>
        <v/>
      </c>
      <c r="E166" s="29" t="str">
        <f t="shared" si="6"/>
        <v/>
      </c>
      <c r="F166" s="40"/>
      <c r="G166" s="29" t="str">
        <f t="shared" si="7"/>
        <v/>
      </c>
      <c r="H166" s="40"/>
      <c r="I166" s="29" t="str">
        <f t="shared" si="8"/>
        <v/>
      </c>
      <c r="J166" s="29"/>
    </row>
    <row r="167" spans="1:10" ht="22.05" customHeight="1" x14ac:dyDescent="0.45">
      <c r="A167" s="39" t="str">
        <f>IF(OR('Ground Schedule'!A37="",'Ground Schedule'!I37=""),"",'Ground Schedule'!A37)</f>
        <v/>
      </c>
      <c r="B167" s="29" t="str">
        <f>IF(A167="","",'Ground Schedule'!C37)</f>
        <v/>
      </c>
      <c r="C167" s="29" t="str">
        <f>IF(A167="","",'Ground Schedule'!I$4)</f>
        <v/>
      </c>
      <c r="D167" s="29" t="str">
        <f>IF(A167="","",'Ground Schedule'!I37)</f>
        <v/>
      </c>
      <c r="E167" s="29" t="str">
        <f t="shared" si="6"/>
        <v/>
      </c>
      <c r="F167" s="40"/>
      <c r="G167" s="29" t="str">
        <f t="shared" si="7"/>
        <v/>
      </c>
      <c r="H167" s="40"/>
      <c r="I167" s="29" t="str">
        <f t="shared" si="8"/>
        <v/>
      </c>
      <c r="J167" s="29"/>
    </row>
    <row r="168" spans="1:10" ht="22.05" customHeight="1" x14ac:dyDescent="0.45">
      <c r="A168" s="39" t="str">
        <f>IF(OR('Ground Schedule'!A37="",'Ground Schedule'!J37=""),"",'Ground Schedule'!A37)</f>
        <v/>
      </c>
      <c r="B168" s="29" t="str">
        <f>IF(A168="","",'Ground Schedule'!C37)</f>
        <v/>
      </c>
      <c r="C168" s="29" t="str">
        <f>IF(A168="","",'Ground Schedule'!J$4)</f>
        <v/>
      </c>
      <c r="D168" s="29" t="str">
        <f>IF(A168="","",'Ground Schedule'!J37)</f>
        <v/>
      </c>
      <c r="E168" s="29" t="str">
        <f t="shared" si="6"/>
        <v/>
      </c>
      <c r="F168" s="40"/>
      <c r="G168" s="29" t="str">
        <f t="shared" si="7"/>
        <v/>
      </c>
      <c r="H168" s="40"/>
      <c r="I168" s="29" t="str">
        <f t="shared" si="8"/>
        <v/>
      </c>
      <c r="J168" s="29"/>
    </row>
    <row r="169" spans="1:10" ht="22.05" customHeight="1" x14ac:dyDescent="0.45">
      <c r="A169" s="39" t="str">
        <f>IF(OR('Ground Schedule'!A38="",'Ground Schedule'!F38=""),"",'Ground Schedule'!A38)</f>
        <v/>
      </c>
      <c r="B169" s="29" t="str">
        <f>IF(A169="","",'Ground Schedule'!C38)</f>
        <v/>
      </c>
      <c r="C169" s="29" t="str">
        <f>IF(A169="","",'Ground Schedule'!F$4)</f>
        <v/>
      </c>
      <c r="D169" s="29" t="str">
        <f>IF(A169="","",'Ground Schedule'!F38)</f>
        <v/>
      </c>
      <c r="E169" s="29" t="str">
        <f t="shared" si="6"/>
        <v/>
      </c>
      <c r="F169" s="40"/>
      <c r="G169" s="29" t="str">
        <f t="shared" si="7"/>
        <v/>
      </c>
      <c r="H169" s="40"/>
      <c r="I169" s="29" t="str">
        <f t="shared" si="8"/>
        <v/>
      </c>
      <c r="J169" s="29"/>
    </row>
    <row r="170" spans="1:10" ht="22.05" customHeight="1" x14ac:dyDescent="0.45">
      <c r="A170" s="39" t="str">
        <f>IF(OR('Ground Schedule'!A38="",'Ground Schedule'!G38=""),"",'Ground Schedule'!A38)</f>
        <v/>
      </c>
      <c r="B170" s="29" t="str">
        <f>IF(A170="","",'Ground Schedule'!C38)</f>
        <v/>
      </c>
      <c r="C170" s="29" t="str">
        <f>IF(A170="","",'Ground Schedule'!G$4)</f>
        <v/>
      </c>
      <c r="D170" s="29" t="str">
        <f>IF(A170="","",'Ground Schedule'!G38)</f>
        <v/>
      </c>
      <c r="E170" s="29" t="str">
        <f t="shared" si="6"/>
        <v/>
      </c>
      <c r="F170" s="40"/>
      <c r="G170" s="29" t="str">
        <f t="shared" si="7"/>
        <v/>
      </c>
      <c r="H170" s="40"/>
      <c r="I170" s="29" t="str">
        <f t="shared" si="8"/>
        <v/>
      </c>
      <c r="J170" s="29"/>
    </row>
    <row r="171" spans="1:10" ht="22.05" customHeight="1" x14ac:dyDescent="0.45">
      <c r="A171" s="39" t="str">
        <f>IF(OR('Ground Schedule'!A38="",'Ground Schedule'!H38=""),"",'Ground Schedule'!A38)</f>
        <v/>
      </c>
      <c r="B171" s="29" t="str">
        <f>IF(A171="","",'Ground Schedule'!C38)</f>
        <v/>
      </c>
      <c r="C171" s="29" t="str">
        <f>IF(A171="","",'Ground Schedule'!H$4)</f>
        <v/>
      </c>
      <c r="D171" s="29" t="str">
        <f>IF(A171="","",'Ground Schedule'!H38)</f>
        <v/>
      </c>
      <c r="E171" s="29" t="str">
        <f t="shared" si="6"/>
        <v/>
      </c>
      <c r="F171" s="40"/>
      <c r="G171" s="29" t="str">
        <f t="shared" si="7"/>
        <v/>
      </c>
      <c r="H171" s="40"/>
      <c r="I171" s="29" t="str">
        <f t="shared" si="8"/>
        <v/>
      </c>
      <c r="J171" s="29"/>
    </row>
    <row r="172" spans="1:10" ht="22.05" customHeight="1" x14ac:dyDescent="0.45">
      <c r="A172" s="39">
        <f>IF(OR('Ground Schedule'!A38="",'Ground Schedule'!I38=""),"",'Ground Schedule'!A38)</f>
        <v>46348</v>
      </c>
      <c r="B172" s="29" t="str">
        <f>IF(A172="","",'Ground Schedule'!C38)</f>
        <v>Lords of Maval</v>
      </c>
      <c r="C172" s="29" t="str">
        <f>IF(A172="","",'Ground Schedule'!I$4)</f>
        <v>02:00 PM Slot</v>
      </c>
      <c r="D172" s="29" t="str">
        <f>IF(A172="","",'Ground Schedule'!I38)</f>
        <v>Royal Strikers vs Rising Champions</v>
      </c>
      <c r="E172" s="29" t="str">
        <f t="shared" si="6"/>
        <v>Royal Strikers</v>
      </c>
      <c r="F172" s="40"/>
      <c r="G172" s="29" t="str">
        <f t="shared" si="7"/>
        <v>Rising Champions</v>
      </c>
      <c r="H172" s="40"/>
      <c r="I172" s="29" t="str">
        <f t="shared" si="8"/>
        <v>Both Pending</v>
      </c>
      <c r="J172" s="29"/>
    </row>
    <row r="173" spans="1:10" ht="22.05" customHeight="1" x14ac:dyDescent="0.45">
      <c r="A173" s="39" t="str">
        <f>IF(OR('Ground Schedule'!A38="",'Ground Schedule'!J38=""),"",'Ground Schedule'!A38)</f>
        <v/>
      </c>
      <c r="B173" s="29" t="str">
        <f>IF(A173="","",'Ground Schedule'!C38)</f>
        <v/>
      </c>
      <c r="C173" s="29" t="str">
        <f>IF(A173="","",'Ground Schedule'!J$4)</f>
        <v/>
      </c>
      <c r="D173" s="29" t="str">
        <f>IF(A173="","",'Ground Schedule'!J38)</f>
        <v/>
      </c>
      <c r="E173" s="29" t="str">
        <f t="shared" si="6"/>
        <v/>
      </c>
      <c r="F173" s="40"/>
      <c r="G173" s="29" t="str">
        <f t="shared" si="7"/>
        <v/>
      </c>
      <c r="H173" s="40"/>
      <c r="I173" s="29" t="str">
        <f t="shared" si="8"/>
        <v/>
      </c>
      <c r="J173" s="29"/>
    </row>
    <row r="174" spans="1:10" ht="22.05" customHeight="1" x14ac:dyDescent="0.45">
      <c r="A174" s="39" t="str">
        <f>IF(OR('Ground Schedule'!A39="",'Ground Schedule'!F39=""),"",'Ground Schedule'!A39)</f>
        <v/>
      </c>
      <c r="B174" s="29" t="str">
        <f>IF(A174="","",'Ground Schedule'!C39)</f>
        <v/>
      </c>
      <c r="C174" s="29" t="str">
        <f>IF(A174="","",'Ground Schedule'!F$4)</f>
        <v/>
      </c>
      <c r="D174" s="29" t="str">
        <f>IF(A174="","",'Ground Schedule'!F39)</f>
        <v/>
      </c>
      <c r="E174" s="29" t="str">
        <f t="shared" si="6"/>
        <v/>
      </c>
      <c r="F174" s="40"/>
      <c r="G174" s="29" t="str">
        <f t="shared" si="7"/>
        <v/>
      </c>
      <c r="H174" s="40"/>
      <c r="I174" s="29" t="str">
        <f t="shared" si="8"/>
        <v/>
      </c>
      <c r="J174" s="29"/>
    </row>
    <row r="175" spans="1:10" ht="22.05" customHeight="1" x14ac:dyDescent="0.45">
      <c r="A175" s="39" t="str">
        <f>IF(OR('Ground Schedule'!A39="",'Ground Schedule'!G39=""),"",'Ground Schedule'!A39)</f>
        <v/>
      </c>
      <c r="B175" s="29" t="str">
        <f>IF(A175="","",'Ground Schedule'!C39)</f>
        <v/>
      </c>
      <c r="C175" s="29" t="str">
        <f>IF(A175="","",'Ground Schedule'!G$4)</f>
        <v/>
      </c>
      <c r="D175" s="29" t="str">
        <f>IF(A175="","",'Ground Schedule'!G39)</f>
        <v/>
      </c>
      <c r="E175" s="29" t="str">
        <f t="shared" si="6"/>
        <v/>
      </c>
      <c r="F175" s="40"/>
      <c r="G175" s="29" t="str">
        <f t="shared" si="7"/>
        <v/>
      </c>
      <c r="H175" s="40"/>
      <c r="I175" s="29" t="str">
        <f t="shared" si="8"/>
        <v/>
      </c>
      <c r="J175" s="29"/>
    </row>
    <row r="176" spans="1:10" ht="22.05" customHeight="1" x14ac:dyDescent="0.45">
      <c r="A176" s="39" t="str">
        <f>IF(OR('Ground Schedule'!A39="",'Ground Schedule'!H39=""),"",'Ground Schedule'!A39)</f>
        <v/>
      </c>
      <c r="B176" s="29" t="str">
        <f>IF(A176="","",'Ground Schedule'!C39)</f>
        <v/>
      </c>
      <c r="C176" s="29" t="str">
        <f>IF(A176="","",'Ground Schedule'!H$4)</f>
        <v/>
      </c>
      <c r="D176" s="29" t="str">
        <f>IF(A176="","",'Ground Schedule'!H39)</f>
        <v/>
      </c>
      <c r="E176" s="29" t="str">
        <f t="shared" si="6"/>
        <v/>
      </c>
      <c r="F176" s="40"/>
      <c r="G176" s="29" t="str">
        <f t="shared" si="7"/>
        <v/>
      </c>
      <c r="H176" s="40"/>
      <c r="I176" s="29" t="str">
        <f t="shared" si="8"/>
        <v/>
      </c>
      <c r="J176" s="29"/>
    </row>
    <row r="177" spans="1:10" ht="22.05" customHeight="1" x14ac:dyDescent="0.45">
      <c r="A177" s="39" t="str">
        <f>IF(OR('Ground Schedule'!A39="",'Ground Schedule'!I39=""),"",'Ground Schedule'!A39)</f>
        <v/>
      </c>
      <c r="B177" s="29" t="str">
        <f>IF(A177="","",'Ground Schedule'!C39)</f>
        <v/>
      </c>
      <c r="C177" s="29" t="str">
        <f>IF(A177="","",'Ground Schedule'!I$4)</f>
        <v/>
      </c>
      <c r="D177" s="29" t="str">
        <f>IF(A177="","",'Ground Schedule'!I39)</f>
        <v/>
      </c>
      <c r="E177" s="29" t="str">
        <f t="shared" si="6"/>
        <v/>
      </c>
      <c r="F177" s="40"/>
      <c r="G177" s="29" t="str">
        <f t="shared" si="7"/>
        <v/>
      </c>
      <c r="H177" s="40"/>
      <c r="I177" s="29" t="str">
        <f t="shared" si="8"/>
        <v/>
      </c>
      <c r="J177" s="29"/>
    </row>
    <row r="178" spans="1:10" ht="22.05" customHeight="1" x14ac:dyDescent="0.45">
      <c r="A178" s="39" t="str">
        <f>IF(OR('Ground Schedule'!A39="",'Ground Schedule'!J39=""),"",'Ground Schedule'!A39)</f>
        <v/>
      </c>
      <c r="B178" s="29" t="str">
        <f>IF(A178="","",'Ground Schedule'!C39)</f>
        <v/>
      </c>
      <c r="C178" s="29" t="str">
        <f>IF(A178="","",'Ground Schedule'!J$4)</f>
        <v/>
      </c>
      <c r="D178" s="29" t="str">
        <f>IF(A178="","",'Ground Schedule'!J39)</f>
        <v/>
      </c>
      <c r="E178" s="29" t="str">
        <f t="shared" si="6"/>
        <v/>
      </c>
      <c r="F178" s="40"/>
      <c r="G178" s="29" t="str">
        <f t="shared" si="7"/>
        <v/>
      </c>
      <c r="H178" s="40"/>
      <c r="I178" s="29" t="str">
        <f t="shared" si="8"/>
        <v/>
      </c>
      <c r="J178" s="29"/>
    </row>
    <row r="179" spans="1:10" ht="22.05" customHeight="1" x14ac:dyDescent="0.45">
      <c r="A179" s="39" t="str">
        <f>IF(OR('Ground Schedule'!A40="",'Ground Schedule'!F40=""),"",'Ground Schedule'!A40)</f>
        <v/>
      </c>
      <c r="B179" s="29" t="str">
        <f>IF(A179="","",'Ground Schedule'!C40)</f>
        <v/>
      </c>
      <c r="C179" s="29" t="str">
        <f>IF(A179="","",'Ground Schedule'!F$4)</f>
        <v/>
      </c>
      <c r="D179" s="29" t="str">
        <f>IF(A179="","",'Ground Schedule'!F40)</f>
        <v/>
      </c>
      <c r="E179" s="29" t="str">
        <f t="shared" si="6"/>
        <v/>
      </c>
      <c r="F179" s="40"/>
      <c r="G179" s="29" t="str">
        <f t="shared" si="7"/>
        <v/>
      </c>
      <c r="H179" s="40"/>
      <c r="I179" s="29" t="str">
        <f t="shared" si="8"/>
        <v/>
      </c>
      <c r="J179" s="29"/>
    </row>
    <row r="180" spans="1:10" ht="22.05" customHeight="1" x14ac:dyDescent="0.45">
      <c r="A180" s="39" t="str">
        <f>IF(OR('Ground Schedule'!A40="",'Ground Schedule'!G40=""),"",'Ground Schedule'!A40)</f>
        <v/>
      </c>
      <c r="B180" s="29" t="str">
        <f>IF(A180="","",'Ground Schedule'!C40)</f>
        <v/>
      </c>
      <c r="C180" s="29" t="str">
        <f>IF(A180="","",'Ground Schedule'!G$4)</f>
        <v/>
      </c>
      <c r="D180" s="29" t="str">
        <f>IF(A180="","",'Ground Schedule'!G40)</f>
        <v/>
      </c>
      <c r="E180" s="29" t="str">
        <f t="shared" si="6"/>
        <v/>
      </c>
      <c r="F180" s="40"/>
      <c r="G180" s="29" t="str">
        <f t="shared" si="7"/>
        <v/>
      </c>
      <c r="H180" s="40"/>
      <c r="I180" s="29" t="str">
        <f t="shared" si="8"/>
        <v/>
      </c>
      <c r="J180" s="29"/>
    </row>
    <row r="181" spans="1:10" ht="22.05" customHeight="1" x14ac:dyDescent="0.45">
      <c r="A181" s="39" t="str">
        <f>IF(OR('Ground Schedule'!A40="",'Ground Schedule'!H40=""),"",'Ground Schedule'!A40)</f>
        <v/>
      </c>
      <c r="B181" s="29" t="str">
        <f>IF(A181="","",'Ground Schedule'!C40)</f>
        <v/>
      </c>
      <c r="C181" s="29" t="str">
        <f>IF(A181="","",'Ground Schedule'!H$4)</f>
        <v/>
      </c>
      <c r="D181" s="29" t="str">
        <f>IF(A181="","",'Ground Schedule'!H40)</f>
        <v/>
      </c>
      <c r="E181" s="29" t="str">
        <f t="shared" si="6"/>
        <v/>
      </c>
      <c r="F181" s="40"/>
      <c r="G181" s="29" t="str">
        <f t="shared" si="7"/>
        <v/>
      </c>
      <c r="H181" s="40"/>
      <c r="I181" s="29" t="str">
        <f t="shared" si="8"/>
        <v/>
      </c>
      <c r="J181" s="29"/>
    </row>
    <row r="182" spans="1:10" ht="22.05" customHeight="1" x14ac:dyDescent="0.45">
      <c r="A182" s="39">
        <f>IF(OR('Ground Schedule'!A40="",'Ground Schedule'!I40=""),"",'Ground Schedule'!A40)</f>
        <v>46354</v>
      </c>
      <c r="B182" s="29" t="str">
        <f>IF(A182="","",'Ground Schedule'!C40)</f>
        <v>Lords of Maval</v>
      </c>
      <c r="C182" s="29" t="str">
        <f>IF(A182="","",'Ground Schedule'!I$4)</f>
        <v>02:00 PM Slot</v>
      </c>
      <c r="D182" s="29" t="str">
        <f>IF(A182="","",'Ground Schedule'!I40)</f>
        <v>Team Aristo vs TopGun Mavericks</v>
      </c>
      <c r="E182" s="29" t="str">
        <f t="shared" si="6"/>
        <v>Team Aristo</v>
      </c>
      <c r="F182" s="40"/>
      <c r="G182" s="29" t="str">
        <f t="shared" si="7"/>
        <v>TopGun Mavericks</v>
      </c>
      <c r="H182" s="40"/>
      <c r="I182" s="29" t="str">
        <f t="shared" si="8"/>
        <v>Both Pending</v>
      </c>
      <c r="J182" s="29"/>
    </row>
    <row r="183" spans="1:10" ht="22.05" customHeight="1" x14ac:dyDescent="0.45">
      <c r="A183" s="39" t="str">
        <f>IF(OR('Ground Schedule'!A40="",'Ground Schedule'!J40=""),"",'Ground Schedule'!A40)</f>
        <v/>
      </c>
      <c r="B183" s="29" t="str">
        <f>IF(A183="","",'Ground Schedule'!C40)</f>
        <v/>
      </c>
      <c r="C183" s="29" t="str">
        <f>IF(A183="","",'Ground Schedule'!J$4)</f>
        <v/>
      </c>
      <c r="D183" s="29" t="str">
        <f>IF(A183="","",'Ground Schedule'!J40)</f>
        <v/>
      </c>
      <c r="E183" s="29" t="str">
        <f t="shared" si="6"/>
        <v/>
      </c>
      <c r="F183" s="40"/>
      <c r="G183" s="29" t="str">
        <f t="shared" si="7"/>
        <v/>
      </c>
      <c r="H183" s="40"/>
      <c r="I183" s="29" t="str">
        <f t="shared" si="8"/>
        <v/>
      </c>
      <c r="J183" s="29"/>
    </row>
    <row r="184" spans="1:10" ht="22.05" customHeight="1" x14ac:dyDescent="0.45">
      <c r="A184" s="39" t="str">
        <f>IF(OR('Ground Schedule'!A41="",'Ground Schedule'!F41=""),"",'Ground Schedule'!A41)</f>
        <v/>
      </c>
      <c r="B184" s="29" t="str">
        <f>IF(A184="","",'Ground Schedule'!C41)</f>
        <v/>
      </c>
      <c r="C184" s="29" t="str">
        <f>IF(A184="","",'Ground Schedule'!F$4)</f>
        <v/>
      </c>
      <c r="D184" s="29" t="str">
        <f>IF(A184="","",'Ground Schedule'!F41)</f>
        <v/>
      </c>
      <c r="E184" s="29" t="str">
        <f t="shared" si="6"/>
        <v/>
      </c>
      <c r="F184" s="40"/>
      <c r="G184" s="29" t="str">
        <f t="shared" si="7"/>
        <v/>
      </c>
      <c r="H184" s="40"/>
      <c r="I184" s="29" t="str">
        <f t="shared" si="8"/>
        <v/>
      </c>
      <c r="J184" s="29"/>
    </row>
    <row r="185" spans="1:10" ht="22.05" customHeight="1" x14ac:dyDescent="0.45">
      <c r="A185" s="39" t="str">
        <f>IF(OR('Ground Schedule'!A41="",'Ground Schedule'!G41=""),"",'Ground Schedule'!A41)</f>
        <v/>
      </c>
      <c r="B185" s="29" t="str">
        <f>IF(A185="","",'Ground Schedule'!C41)</f>
        <v/>
      </c>
      <c r="C185" s="29" t="str">
        <f>IF(A185="","",'Ground Schedule'!G$4)</f>
        <v/>
      </c>
      <c r="D185" s="29" t="str">
        <f>IF(A185="","",'Ground Schedule'!G41)</f>
        <v/>
      </c>
      <c r="E185" s="29" t="str">
        <f t="shared" si="6"/>
        <v/>
      </c>
      <c r="F185" s="40"/>
      <c r="G185" s="29" t="str">
        <f t="shared" si="7"/>
        <v/>
      </c>
      <c r="H185" s="40"/>
      <c r="I185" s="29" t="str">
        <f t="shared" si="8"/>
        <v/>
      </c>
      <c r="J185" s="29"/>
    </row>
    <row r="186" spans="1:10" ht="22.05" customHeight="1" x14ac:dyDescent="0.45">
      <c r="A186" s="39" t="str">
        <f>IF(OR('Ground Schedule'!A41="",'Ground Schedule'!H41=""),"",'Ground Schedule'!A41)</f>
        <v/>
      </c>
      <c r="B186" s="29" t="str">
        <f>IF(A186="","",'Ground Schedule'!C41)</f>
        <v/>
      </c>
      <c r="C186" s="29" t="str">
        <f>IF(A186="","",'Ground Schedule'!H$4)</f>
        <v/>
      </c>
      <c r="D186" s="29" t="str">
        <f>IF(A186="","",'Ground Schedule'!H41)</f>
        <v/>
      </c>
      <c r="E186" s="29" t="str">
        <f t="shared" si="6"/>
        <v/>
      </c>
      <c r="F186" s="40"/>
      <c r="G186" s="29" t="str">
        <f t="shared" si="7"/>
        <v/>
      </c>
      <c r="H186" s="40"/>
      <c r="I186" s="29" t="str">
        <f t="shared" si="8"/>
        <v/>
      </c>
      <c r="J186" s="29"/>
    </row>
    <row r="187" spans="1:10" ht="22.05" customHeight="1" x14ac:dyDescent="0.45">
      <c r="A187" s="39" t="str">
        <f>IF(OR('Ground Schedule'!A41="",'Ground Schedule'!I41=""),"",'Ground Schedule'!A41)</f>
        <v/>
      </c>
      <c r="B187" s="29" t="str">
        <f>IF(A187="","",'Ground Schedule'!C41)</f>
        <v/>
      </c>
      <c r="C187" s="29" t="str">
        <f>IF(A187="","",'Ground Schedule'!I$4)</f>
        <v/>
      </c>
      <c r="D187" s="29" t="str">
        <f>IF(A187="","",'Ground Schedule'!I41)</f>
        <v/>
      </c>
      <c r="E187" s="29" t="str">
        <f t="shared" si="6"/>
        <v/>
      </c>
      <c r="F187" s="40"/>
      <c r="G187" s="29" t="str">
        <f t="shared" si="7"/>
        <v/>
      </c>
      <c r="H187" s="40"/>
      <c r="I187" s="29" t="str">
        <f t="shared" si="8"/>
        <v/>
      </c>
      <c r="J187" s="29"/>
    </row>
    <row r="188" spans="1:10" ht="22.05" customHeight="1" x14ac:dyDescent="0.45">
      <c r="A188" s="39" t="str">
        <f>IF(OR('Ground Schedule'!A41="",'Ground Schedule'!J41=""),"",'Ground Schedule'!A41)</f>
        <v/>
      </c>
      <c r="B188" s="29" t="str">
        <f>IF(A188="","",'Ground Schedule'!C41)</f>
        <v/>
      </c>
      <c r="C188" s="29" t="str">
        <f>IF(A188="","",'Ground Schedule'!J$4)</f>
        <v/>
      </c>
      <c r="D188" s="29" t="str">
        <f>IF(A188="","",'Ground Schedule'!J41)</f>
        <v/>
      </c>
      <c r="E188" s="29" t="str">
        <f t="shared" si="6"/>
        <v/>
      </c>
      <c r="F188" s="40"/>
      <c r="G188" s="29" t="str">
        <f t="shared" si="7"/>
        <v/>
      </c>
      <c r="H188" s="40"/>
      <c r="I188" s="29" t="str">
        <f t="shared" si="8"/>
        <v/>
      </c>
      <c r="J188" s="29"/>
    </row>
    <row r="189" spans="1:10" ht="22.05" customHeight="1" x14ac:dyDescent="0.45">
      <c r="A189" s="39" t="str">
        <f>IF(OR('Ground Schedule'!A42="",'Ground Schedule'!F42=""),"",'Ground Schedule'!A42)</f>
        <v/>
      </c>
      <c r="B189" s="29" t="str">
        <f>IF(A189="","",'Ground Schedule'!C42)</f>
        <v/>
      </c>
      <c r="C189" s="29" t="str">
        <f>IF(A189="","",'Ground Schedule'!F$4)</f>
        <v/>
      </c>
      <c r="D189" s="29" t="str">
        <f>IF(A189="","",'Ground Schedule'!F42)</f>
        <v/>
      </c>
      <c r="E189" s="29" t="str">
        <f t="shared" si="6"/>
        <v/>
      </c>
      <c r="F189" s="40"/>
      <c r="G189" s="29" t="str">
        <f t="shared" si="7"/>
        <v/>
      </c>
      <c r="H189" s="40"/>
      <c r="I189" s="29" t="str">
        <f t="shared" si="8"/>
        <v/>
      </c>
      <c r="J189" s="29"/>
    </row>
    <row r="190" spans="1:10" ht="22.05" customHeight="1" x14ac:dyDescent="0.45">
      <c r="A190" s="39" t="str">
        <f>IF(OR('Ground Schedule'!A42="",'Ground Schedule'!G42=""),"",'Ground Schedule'!A42)</f>
        <v/>
      </c>
      <c r="B190" s="29" t="str">
        <f>IF(A190="","",'Ground Schedule'!C42)</f>
        <v/>
      </c>
      <c r="C190" s="29" t="str">
        <f>IF(A190="","",'Ground Schedule'!G$4)</f>
        <v/>
      </c>
      <c r="D190" s="29" t="str">
        <f>IF(A190="","",'Ground Schedule'!G42)</f>
        <v/>
      </c>
      <c r="E190" s="29" t="str">
        <f t="shared" si="6"/>
        <v/>
      </c>
      <c r="F190" s="40"/>
      <c r="G190" s="29" t="str">
        <f t="shared" si="7"/>
        <v/>
      </c>
      <c r="H190" s="40"/>
      <c r="I190" s="29" t="str">
        <f t="shared" si="8"/>
        <v/>
      </c>
      <c r="J190" s="29"/>
    </row>
    <row r="191" spans="1:10" ht="22.05" customHeight="1" x14ac:dyDescent="0.45">
      <c r="A191" s="39" t="str">
        <f>IF(OR('Ground Schedule'!A42="",'Ground Schedule'!H42=""),"",'Ground Schedule'!A42)</f>
        <v/>
      </c>
      <c r="B191" s="29" t="str">
        <f>IF(A191="","",'Ground Schedule'!C42)</f>
        <v/>
      </c>
      <c r="C191" s="29" t="str">
        <f>IF(A191="","",'Ground Schedule'!H$4)</f>
        <v/>
      </c>
      <c r="D191" s="29" t="str">
        <f>IF(A191="","",'Ground Schedule'!H42)</f>
        <v/>
      </c>
      <c r="E191" s="29" t="str">
        <f t="shared" si="6"/>
        <v/>
      </c>
      <c r="F191" s="40"/>
      <c r="G191" s="29" t="str">
        <f t="shared" si="7"/>
        <v/>
      </c>
      <c r="H191" s="40"/>
      <c r="I191" s="29" t="str">
        <f t="shared" si="8"/>
        <v/>
      </c>
      <c r="J191" s="29"/>
    </row>
    <row r="192" spans="1:10" ht="22.05" customHeight="1" x14ac:dyDescent="0.45">
      <c r="A192" s="39">
        <f>IF(OR('Ground Schedule'!A42="",'Ground Schedule'!I42=""),"",'Ground Schedule'!A42)</f>
        <v>46355</v>
      </c>
      <c r="B192" s="29" t="str">
        <f>IF(A192="","",'Ground Schedule'!C42)</f>
        <v>Lords of Maval</v>
      </c>
      <c r="C192" s="29" t="str">
        <f>IF(A192="","",'Ground Schedule'!I$4)</f>
        <v>02:00 PM Slot</v>
      </c>
      <c r="D192" s="29" t="str">
        <f>IF(A192="","",'Ground Schedule'!I42)</f>
        <v>Vajra Vikings vs OM Cricket Club</v>
      </c>
      <c r="E192" s="29" t="str">
        <f t="shared" si="6"/>
        <v>Vajra Vikings</v>
      </c>
      <c r="F192" s="40"/>
      <c r="G192" s="29" t="str">
        <f t="shared" si="7"/>
        <v>OM Cricket Club</v>
      </c>
      <c r="H192" s="40"/>
      <c r="I192" s="29" t="str">
        <f t="shared" si="8"/>
        <v>Both Pending</v>
      </c>
      <c r="J192" s="29"/>
    </row>
    <row r="193" spans="1:10" ht="22.05" customHeight="1" x14ac:dyDescent="0.45">
      <c r="A193" s="39" t="str">
        <f>IF(OR('Ground Schedule'!A42="",'Ground Schedule'!J42=""),"",'Ground Schedule'!A42)</f>
        <v/>
      </c>
      <c r="B193" s="29" t="str">
        <f>IF(A193="","",'Ground Schedule'!C42)</f>
        <v/>
      </c>
      <c r="C193" s="29" t="str">
        <f>IF(A193="","",'Ground Schedule'!J$4)</f>
        <v/>
      </c>
      <c r="D193" s="29" t="str">
        <f>IF(A193="","",'Ground Schedule'!J42)</f>
        <v/>
      </c>
      <c r="E193" s="29" t="str">
        <f t="shared" si="6"/>
        <v/>
      </c>
      <c r="F193" s="40"/>
      <c r="G193" s="29" t="str">
        <f t="shared" si="7"/>
        <v/>
      </c>
      <c r="H193" s="40"/>
      <c r="I193" s="29" t="str">
        <f t="shared" si="8"/>
        <v/>
      </c>
      <c r="J193" s="29"/>
    </row>
    <row r="194" spans="1:10" ht="22.05" customHeight="1" x14ac:dyDescent="0.45">
      <c r="A194" s="39" t="str">
        <f>IF(OR('Ground Schedule'!A43="",'Ground Schedule'!F43=""),"",'Ground Schedule'!A43)</f>
        <v/>
      </c>
      <c r="B194" s="29" t="str">
        <f>IF(A194="","",'Ground Schedule'!C43)</f>
        <v/>
      </c>
      <c r="C194" s="29" t="str">
        <f>IF(A194="","",'Ground Schedule'!F$4)</f>
        <v/>
      </c>
      <c r="D194" s="29" t="str">
        <f>IF(A194="","",'Ground Schedule'!F43)</f>
        <v/>
      </c>
      <c r="E194" s="29" t="str">
        <f t="shared" si="6"/>
        <v/>
      </c>
      <c r="F194" s="40"/>
      <c r="G194" s="29" t="str">
        <f t="shared" si="7"/>
        <v/>
      </c>
      <c r="H194" s="40"/>
      <c r="I194" s="29" t="str">
        <f t="shared" si="8"/>
        <v/>
      </c>
      <c r="J194" s="29"/>
    </row>
    <row r="195" spans="1:10" ht="22.05" customHeight="1" x14ac:dyDescent="0.45">
      <c r="A195" s="39" t="str">
        <f>IF(OR('Ground Schedule'!A43="",'Ground Schedule'!G43=""),"",'Ground Schedule'!A43)</f>
        <v/>
      </c>
      <c r="B195" s="29" t="str">
        <f>IF(A195="","",'Ground Schedule'!C43)</f>
        <v/>
      </c>
      <c r="C195" s="29" t="str">
        <f>IF(A195="","",'Ground Schedule'!G$4)</f>
        <v/>
      </c>
      <c r="D195" s="29" t="str">
        <f>IF(A195="","",'Ground Schedule'!G43)</f>
        <v/>
      </c>
      <c r="E195" s="29" t="str">
        <f t="shared" si="6"/>
        <v/>
      </c>
      <c r="F195" s="40"/>
      <c r="G195" s="29" t="str">
        <f t="shared" si="7"/>
        <v/>
      </c>
      <c r="H195" s="40"/>
      <c r="I195" s="29" t="str">
        <f t="shared" si="8"/>
        <v/>
      </c>
      <c r="J195" s="29"/>
    </row>
    <row r="196" spans="1:10" ht="22.05" customHeight="1" x14ac:dyDescent="0.45">
      <c r="A196" s="39" t="str">
        <f>IF(OR('Ground Schedule'!A43="",'Ground Schedule'!H43=""),"",'Ground Schedule'!A43)</f>
        <v/>
      </c>
      <c r="B196" s="29" t="str">
        <f>IF(A196="","",'Ground Schedule'!C43)</f>
        <v/>
      </c>
      <c r="C196" s="29" t="str">
        <f>IF(A196="","",'Ground Schedule'!H$4)</f>
        <v/>
      </c>
      <c r="D196" s="29" t="str">
        <f>IF(A196="","",'Ground Schedule'!H43)</f>
        <v/>
      </c>
      <c r="E196" s="29" t="str">
        <f t="shared" ref="E196:E259" si="9">IFERROR(TRIM(LEFT(D196,SEARCH(" vs ",D196)-1)),"")</f>
        <v/>
      </c>
      <c r="F196" s="40"/>
      <c r="G196" s="29" t="str">
        <f t="shared" ref="G196:G259" si="10">IFERROR(TRIM(MID(D196,SEARCH(" vs ",D196)+4,LEN(D196))),"")</f>
        <v/>
      </c>
      <c r="H196" s="40"/>
      <c r="I196" s="29" t="str">
        <f t="shared" ref="I196:I259" si="11">IF(OR(E196="",G196=""),"",IF(AND(F196="Paid",H196="Paid"),"Both Paid",IF(AND(OR(F196="Pending",F196=""),OR(H196="Pending",H196="")),"Both Pending",IF(AND(F196="Not Applicable",H196="Not Applicable"),"Not Applicable",IF(OR(F196="Paid",H196="Paid"),"Partially Paid","Pending")))))</f>
        <v/>
      </c>
      <c r="J196" s="29"/>
    </row>
    <row r="197" spans="1:10" ht="22.05" customHeight="1" x14ac:dyDescent="0.45">
      <c r="A197" s="39" t="str">
        <f>IF(OR('Ground Schedule'!A43="",'Ground Schedule'!I43=""),"",'Ground Schedule'!A43)</f>
        <v/>
      </c>
      <c r="B197" s="29" t="str">
        <f>IF(A197="","",'Ground Schedule'!C43)</f>
        <v/>
      </c>
      <c r="C197" s="29" t="str">
        <f>IF(A197="","",'Ground Schedule'!I$4)</f>
        <v/>
      </c>
      <c r="D197" s="29" t="str">
        <f>IF(A197="","",'Ground Schedule'!I43)</f>
        <v/>
      </c>
      <c r="E197" s="29" t="str">
        <f t="shared" si="9"/>
        <v/>
      </c>
      <c r="F197" s="40"/>
      <c r="G197" s="29" t="str">
        <f t="shared" si="10"/>
        <v/>
      </c>
      <c r="H197" s="40"/>
      <c r="I197" s="29" t="str">
        <f t="shared" si="11"/>
        <v/>
      </c>
      <c r="J197" s="29"/>
    </row>
    <row r="198" spans="1:10" ht="22.05" customHeight="1" x14ac:dyDescent="0.45">
      <c r="A198" s="39" t="str">
        <f>IF(OR('Ground Schedule'!A43="",'Ground Schedule'!J43=""),"",'Ground Schedule'!A43)</f>
        <v/>
      </c>
      <c r="B198" s="29" t="str">
        <f>IF(A198="","",'Ground Schedule'!C43)</f>
        <v/>
      </c>
      <c r="C198" s="29" t="str">
        <f>IF(A198="","",'Ground Schedule'!J$4)</f>
        <v/>
      </c>
      <c r="D198" s="29" t="str">
        <f>IF(A198="","",'Ground Schedule'!J43)</f>
        <v/>
      </c>
      <c r="E198" s="29" t="str">
        <f t="shared" si="9"/>
        <v/>
      </c>
      <c r="F198" s="40"/>
      <c r="G198" s="29" t="str">
        <f t="shared" si="10"/>
        <v/>
      </c>
      <c r="H198" s="40"/>
      <c r="I198" s="29" t="str">
        <f t="shared" si="11"/>
        <v/>
      </c>
      <c r="J198" s="29"/>
    </row>
    <row r="199" spans="1:10" ht="22.05" customHeight="1" x14ac:dyDescent="0.45">
      <c r="A199" s="39" t="str">
        <f>IF(OR('Ground Schedule'!A44="",'Ground Schedule'!F44=""),"",'Ground Schedule'!A44)</f>
        <v/>
      </c>
      <c r="B199" s="29" t="str">
        <f>IF(A199="","",'Ground Schedule'!C44)</f>
        <v/>
      </c>
      <c r="C199" s="29" t="str">
        <f>IF(A199="","",'Ground Schedule'!F$4)</f>
        <v/>
      </c>
      <c r="D199" s="29" t="str">
        <f>IF(A199="","",'Ground Schedule'!F44)</f>
        <v/>
      </c>
      <c r="E199" s="29" t="str">
        <f t="shared" si="9"/>
        <v/>
      </c>
      <c r="F199" s="40"/>
      <c r="G199" s="29" t="str">
        <f t="shared" si="10"/>
        <v/>
      </c>
      <c r="H199" s="40"/>
      <c r="I199" s="29" t="str">
        <f t="shared" si="11"/>
        <v/>
      </c>
      <c r="J199" s="29"/>
    </row>
    <row r="200" spans="1:10" ht="22.05" customHeight="1" x14ac:dyDescent="0.45">
      <c r="A200" s="39" t="str">
        <f>IF(OR('Ground Schedule'!A44="",'Ground Schedule'!G44=""),"",'Ground Schedule'!A44)</f>
        <v/>
      </c>
      <c r="B200" s="29" t="str">
        <f>IF(A200="","",'Ground Schedule'!C44)</f>
        <v/>
      </c>
      <c r="C200" s="29" t="str">
        <f>IF(A200="","",'Ground Schedule'!G$4)</f>
        <v/>
      </c>
      <c r="D200" s="29" t="str">
        <f>IF(A200="","",'Ground Schedule'!G44)</f>
        <v/>
      </c>
      <c r="E200" s="29" t="str">
        <f t="shared" si="9"/>
        <v/>
      </c>
      <c r="F200" s="40"/>
      <c r="G200" s="29" t="str">
        <f t="shared" si="10"/>
        <v/>
      </c>
      <c r="H200" s="40"/>
      <c r="I200" s="29" t="str">
        <f t="shared" si="11"/>
        <v/>
      </c>
      <c r="J200" s="29"/>
    </row>
    <row r="201" spans="1:10" ht="22.05" customHeight="1" x14ac:dyDescent="0.45">
      <c r="A201" s="39" t="str">
        <f>IF(OR('Ground Schedule'!A44="",'Ground Schedule'!H44=""),"",'Ground Schedule'!A44)</f>
        <v/>
      </c>
      <c r="B201" s="29" t="str">
        <f>IF(A201="","",'Ground Schedule'!C44)</f>
        <v/>
      </c>
      <c r="C201" s="29" t="str">
        <f>IF(A201="","",'Ground Schedule'!H$4)</f>
        <v/>
      </c>
      <c r="D201" s="29" t="str">
        <f>IF(A201="","",'Ground Schedule'!H44)</f>
        <v/>
      </c>
      <c r="E201" s="29" t="str">
        <f t="shared" si="9"/>
        <v/>
      </c>
      <c r="F201" s="40"/>
      <c r="G201" s="29" t="str">
        <f t="shared" si="10"/>
        <v/>
      </c>
      <c r="H201" s="40"/>
      <c r="I201" s="29" t="str">
        <f t="shared" si="11"/>
        <v/>
      </c>
      <c r="J201" s="29"/>
    </row>
    <row r="202" spans="1:10" ht="22.05" customHeight="1" x14ac:dyDescent="0.45">
      <c r="A202" s="39" t="str">
        <f>IF(OR('Ground Schedule'!A44="",'Ground Schedule'!I44=""),"",'Ground Schedule'!A44)</f>
        <v/>
      </c>
      <c r="B202" s="29" t="str">
        <f>IF(A202="","",'Ground Schedule'!C44)</f>
        <v/>
      </c>
      <c r="C202" s="29" t="str">
        <f>IF(A202="","",'Ground Schedule'!I$4)</f>
        <v/>
      </c>
      <c r="D202" s="29" t="str">
        <f>IF(A202="","",'Ground Schedule'!I44)</f>
        <v/>
      </c>
      <c r="E202" s="29" t="str">
        <f t="shared" si="9"/>
        <v/>
      </c>
      <c r="F202" s="40"/>
      <c r="G202" s="29" t="str">
        <f t="shared" si="10"/>
        <v/>
      </c>
      <c r="H202" s="40"/>
      <c r="I202" s="29" t="str">
        <f t="shared" si="11"/>
        <v/>
      </c>
      <c r="J202" s="29"/>
    </row>
    <row r="203" spans="1:10" ht="22.05" customHeight="1" x14ac:dyDescent="0.45">
      <c r="A203" s="39" t="str">
        <f>IF(OR('Ground Schedule'!A44="",'Ground Schedule'!J44=""),"",'Ground Schedule'!A44)</f>
        <v/>
      </c>
      <c r="B203" s="29" t="str">
        <f>IF(A203="","",'Ground Schedule'!C44)</f>
        <v/>
      </c>
      <c r="C203" s="29" t="str">
        <f>IF(A203="","",'Ground Schedule'!J$4)</f>
        <v/>
      </c>
      <c r="D203" s="29" t="str">
        <f>IF(A203="","",'Ground Schedule'!J44)</f>
        <v/>
      </c>
      <c r="E203" s="29" t="str">
        <f t="shared" si="9"/>
        <v/>
      </c>
      <c r="F203" s="40"/>
      <c r="G203" s="29" t="str">
        <f t="shared" si="10"/>
        <v/>
      </c>
      <c r="H203" s="40"/>
      <c r="I203" s="29" t="str">
        <f t="shared" si="11"/>
        <v/>
      </c>
      <c r="J203" s="29"/>
    </row>
    <row r="204" spans="1:10" ht="22.05" customHeight="1" x14ac:dyDescent="0.45">
      <c r="A204" s="39" t="str">
        <f>IF(OR('Ground Schedule'!A45="",'Ground Schedule'!F45=""),"",'Ground Schedule'!A45)</f>
        <v/>
      </c>
      <c r="B204" s="29" t="str">
        <f>IF(A204="","",'Ground Schedule'!C45)</f>
        <v/>
      </c>
      <c r="C204" s="29" t="str">
        <f>IF(A204="","",'Ground Schedule'!F$4)</f>
        <v/>
      </c>
      <c r="D204" s="29" t="str">
        <f>IF(A204="","",'Ground Schedule'!F45)</f>
        <v/>
      </c>
      <c r="E204" s="29" t="str">
        <f t="shared" si="9"/>
        <v/>
      </c>
      <c r="F204" s="40"/>
      <c r="G204" s="29" t="str">
        <f t="shared" si="10"/>
        <v/>
      </c>
      <c r="H204" s="40"/>
      <c r="I204" s="29" t="str">
        <f t="shared" si="11"/>
        <v/>
      </c>
      <c r="J204" s="29"/>
    </row>
    <row r="205" spans="1:10" ht="22.05" customHeight="1" x14ac:dyDescent="0.45">
      <c r="A205" s="39" t="str">
        <f>IF(OR('Ground Schedule'!A45="",'Ground Schedule'!G45=""),"",'Ground Schedule'!A45)</f>
        <v/>
      </c>
      <c r="B205" s="29" t="str">
        <f>IF(A205="","",'Ground Schedule'!C45)</f>
        <v/>
      </c>
      <c r="C205" s="29" t="str">
        <f>IF(A205="","",'Ground Schedule'!G$4)</f>
        <v/>
      </c>
      <c r="D205" s="29" t="str">
        <f>IF(A205="","",'Ground Schedule'!G45)</f>
        <v/>
      </c>
      <c r="E205" s="29" t="str">
        <f t="shared" si="9"/>
        <v/>
      </c>
      <c r="F205" s="40"/>
      <c r="G205" s="29" t="str">
        <f t="shared" si="10"/>
        <v/>
      </c>
      <c r="H205" s="40"/>
      <c r="I205" s="29" t="str">
        <f t="shared" si="11"/>
        <v/>
      </c>
      <c r="J205" s="29"/>
    </row>
    <row r="206" spans="1:10" ht="22.05" customHeight="1" x14ac:dyDescent="0.45">
      <c r="A206" s="39" t="str">
        <f>IF(OR('Ground Schedule'!A45="",'Ground Schedule'!H45=""),"",'Ground Schedule'!A45)</f>
        <v/>
      </c>
      <c r="B206" s="29" t="str">
        <f>IF(A206="","",'Ground Schedule'!C45)</f>
        <v/>
      </c>
      <c r="C206" s="29" t="str">
        <f>IF(A206="","",'Ground Schedule'!H$4)</f>
        <v/>
      </c>
      <c r="D206" s="29" t="str">
        <f>IF(A206="","",'Ground Schedule'!H45)</f>
        <v/>
      </c>
      <c r="E206" s="29" t="str">
        <f t="shared" si="9"/>
        <v/>
      </c>
      <c r="F206" s="40"/>
      <c r="G206" s="29" t="str">
        <f t="shared" si="10"/>
        <v/>
      </c>
      <c r="H206" s="40"/>
      <c r="I206" s="29" t="str">
        <f t="shared" si="11"/>
        <v/>
      </c>
      <c r="J206" s="29"/>
    </row>
    <row r="207" spans="1:10" ht="22.05" customHeight="1" x14ac:dyDescent="0.45">
      <c r="A207" s="39" t="str">
        <f>IF(OR('Ground Schedule'!A45="",'Ground Schedule'!I45=""),"",'Ground Schedule'!A45)</f>
        <v/>
      </c>
      <c r="B207" s="29" t="str">
        <f>IF(A207="","",'Ground Schedule'!C45)</f>
        <v/>
      </c>
      <c r="C207" s="29" t="str">
        <f>IF(A207="","",'Ground Schedule'!I$4)</f>
        <v/>
      </c>
      <c r="D207" s="29" t="str">
        <f>IF(A207="","",'Ground Schedule'!I45)</f>
        <v/>
      </c>
      <c r="E207" s="29" t="str">
        <f t="shared" si="9"/>
        <v/>
      </c>
      <c r="F207" s="40"/>
      <c r="G207" s="29" t="str">
        <f t="shared" si="10"/>
        <v/>
      </c>
      <c r="H207" s="40"/>
      <c r="I207" s="29" t="str">
        <f t="shared" si="11"/>
        <v/>
      </c>
      <c r="J207" s="29"/>
    </row>
    <row r="208" spans="1:10" ht="22.05" customHeight="1" x14ac:dyDescent="0.45">
      <c r="A208" s="39" t="str">
        <f>IF(OR('Ground Schedule'!A45="",'Ground Schedule'!J45=""),"",'Ground Schedule'!A45)</f>
        <v/>
      </c>
      <c r="B208" s="29" t="str">
        <f>IF(A208="","",'Ground Schedule'!C45)</f>
        <v/>
      </c>
      <c r="C208" s="29" t="str">
        <f>IF(A208="","",'Ground Schedule'!J$4)</f>
        <v/>
      </c>
      <c r="D208" s="29" t="str">
        <f>IF(A208="","",'Ground Schedule'!J45)</f>
        <v/>
      </c>
      <c r="E208" s="29" t="str">
        <f t="shared" si="9"/>
        <v/>
      </c>
      <c r="F208" s="40"/>
      <c r="G208" s="29" t="str">
        <f t="shared" si="10"/>
        <v/>
      </c>
      <c r="H208" s="40"/>
      <c r="I208" s="29" t="str">
        <f t="shared" si="11"/>
        <v/>
      </c>
      <c r="J208" s="29"/>
    </row>
    <row r="209" spans="1:10" ht="22.05" customHeight="1" x14ac:dyDescent="0.45">
      <c r="A209" s="39" t="str">
        <f>IF(OR('Ground Schedule'!A46="",'Ground Schedule'!F46=""),"",'Ground Schedule'!A46)</f>
        <v/>
      </c>
      <c r="B209" s="29" t="str">
        <f>IF(A209="","",'Ground Schedule'!C46)</f>
        <v/>
      </c>
      <c r="C209" s="29" t="str">
        <f>IF(A209="","",'Ground Schedule'!F$4)</f>
        <v/>
      </c>
      <c r="D209" s="29" t="str">
        <f>IF(A209="","",'Ground Schedule'!F46)</f>
        <v/>
      </c>
      <c r="E209" s="29" t="str">
        <f t="shared" si="9"/>
        <v/>
      </c>
      <c r="F209" s="40"/>
      <c r="G209" s="29" t="str">
        <f t="shared" si="10"/>
        <v/>
      </c>
      <c r="H209" s="40"/>
      <c r="I209" s="29" t="str">
        <f t="shared" si="11"/>
        <v/>
      </c>
      <c r="J209" s="29"/>
    </row>
    <row r="210" spans="1:10" ht="22.05" customHeight="1" x14ac:dyDescent="0.45">
      <c r="A210" s="39" t="str">
        <f>IF(OR('Ground Schedule'!A46="",'Ground Schedule'!G46=""),"",'Ground Schedule'!A46)</f>
        <v/>
      </c>
      <c r="B210" s="29" t="str">
        <f>IF(A210="","",'Ground Schedule'!C46)</f>
        <v/>
      </c>
      <c r="C210" s="29" t="str">
        <f>IF(A210="","",'Ground Schedule'!G$4)</f>
        <v/>
      </c>
      <c r="D210" s="29" t="str">
        <f>IF(A210="","",'Ground Schedule'!G46)</f>
        <v/>
      </c>
      <c r="E210" s="29" t="str">
        <f t="shared" si="9"/>
        <v/>
      </c>
      <c r="F210" s="40"/>
      <c r="G210" s="29" t="str">
        <f t="shared" si="10"/>
        <v/>
      </c>
      <c r="H210" s="40"/>
      <c r="I210" s="29" t="str">
        <f t="shared" si="11"/>
        <v/>
      </c>
      <c r="J210" s="29"/>
    </row>
    <row r="211" spans="1:10" ht="22.05" customHeight="1" x14ac:dyDescent="0.45">
      <c r="A211" s="39" t="str">
        <f>IF(OR('Ground Schedule'!A46="",'Ground Schedule'!H46=""),"",'Ground Schedule'!A46)</f>
        <v/>
      </c>
      <c r="B211" s="29" t="str">
        <f>IF(A211="","",'Ground Schedule'!C46)</f>
        <v/>
      </c>
      <c r="C211" s="29" t="str">
        <f>IF(A211="","",'Ground Schedule'!H$4)</f>
        <v/>
      </c>
      <c r="D211" s="29" t="str">
        <f>IF(A211="","",'Ground Schedule'!H46)</f>
        <v/>
      </c>
      <c r="E211" s="29" t="str">
        <f t="shared" si="9"/>
        <v/>
      </c>
      <c r="F211" s="40"/>
      <c r="G211" s="29" t="str">
        <f t="shared" si="10"/>
        <v/>
      </c>
      <c r="H211" s="40"/>
      <c r="I211" s="29" t="str">
        <f t="shared" si="11"/>
        <v/>
      </c>
      <c r="J211" s="29"/>
    </row>
    <row r="212" spans="1:10" ht="22.05" customHeight="1" x14ac:dyDescent="0.45">
      <c r="A212" s="39" t="str">
        <f>IF(OR('Ground Schedule'!A46="",'Ground Schedule'!I46=""),"",'Ground Schedule'!A46)</f>
        <v/>
      </c>
      <c r="B212" s="29" t="str">
        <f>IF(A212="","",'Ground Schedule'!C46)</f>
        <v/>
      </c>
      <c r="C212" s="29" t="str">
        <f>IF(A212="","",'Ground Schedule'!I$4)</f>
        <v/>
      </c>
      <c r="D212" s="29" t="str">
        <f>IF(A212="","",'Ground Schedule'!I46)</f>
        <v/>
      </c>
      <c r="E212" s="29" t="str">
        <f t="shared" si="9"/>
        <v/>
      </c>
      <c r="F212" s="40"/>
      <c r="G212" s="29" t="str">
        <f t="shared" si="10"/>
        <v/>
      </c>
      <c r="H212" s="40"/>
      <c r="I212" s="29" t="str">
        <f t="shared" si="11"/>
        <v/>
      </c>
      <c r="J212" s="29"/>
    </row>
    <row r="213" spans="1:10" ht="22.05" customHeight="1" x14ac:dyDescent="0.45">
      <c r="A213" s="39" t="str">
        <f>IF(OR('Ground Schedule'!A46="",'Ground Schedule'!J46=""),"",'Ground Schedule'!A46)</f>
        <v/>
      </c>
      <c r="B213" s="29" t="str">
        <f>IF(A213="","",'Ground Schedule'!C46)</f>
        <v/>
      </c>
      <c r="C213" s="29" t="str">
        <f>IF(A213="","",'Ground Schedule'!J$4)</f>
        <v/>
      </c>
      <c r="D213" s="29" t="str">
        <f>IF(A213="","",'Ground Schedule'!J46)</f>
        <v/>
      </c>
      <c r="E213" s="29" t="str">
        <f t="shared" si="9"/>
        <v/>
      </c>
      <c r="F213" s="40"/>
      <c r="G213" s="29" t="str">
        <f t="shared" si="10"/>
        <v/>
      </c>
      <c r="H213" s="40"/>
      <c r="I213" s="29" t="str">
        <f t="shared" si="11"/>
        <v/>
      </c>
      <c r="J213" s="29"/>
    </row>
    <row r="214" spans="1:10" ht="22.05" customHeight="1" x14ac:dyDescent="0.45">
      <c r="A214" s="39" t="str">
        <f>IF(OR('Ground Schedule'!A47="",'Ground Schedule'!F47=""),"",'Ground Schedule'!A47)</f>
        <v/>
      </c>
      <c r="B214" s="29" t="str">
        <f>IF(A214="","",'Ground Schedule'!C47)</f>
        <v/>
      </c>
      <c r="C214" s="29" t="str">
        <f>IF(A214="","",'Ground Schedule'!F$4)</f>
        <v/>
      </c>
      <c r="D214" s="29" t="str">
        <f>IF(A214="","",'Ground Schedule'!F47)</f>
        <v/>
      </c>
      <c r="E214" s="29" t="str">
        <f t="shared" si="9"/>
        <v/>
      </c>
      <c r="F214" s="40"/>
      <c r="G214" s="29" t="str">
        <f t="shared" si="10"/>
        <v/>
      </c>
      <c r="H214" s="40"/>
      <c r="I214" s="29" t="str">
        <f t="shared" si="11"/>
        <v/>
      </c>
      <c r="J214" s="29"/>
    </row>
    <row r="215" spans="1:10" ht="22.05" customHeight="1" x14ac:dyDescent="0.45">
      <c r="A215" s="39" t="str">
        <f>IF(OR('Ground Schedule'!A47="",'Ground Schedule'!G47=""),"",'Ground Schedule'!A47)</f>
        <v/>
      </c>
      <c r="B215" s="29" t="str">
        <f>IF(A215="","",'Ground Schedule'!C47)</f>
        <v/>
      </c>
      <c r="C215" s="29" t="str">
        <f>IF(A215="","",'Ground Schedule'!G$4)</f>
        <v/>
      </c>
      <c r="D215" s="29" t="str">
        <f>IF(A215="","",'Ground Schedule'!G47)</f>
        <v/>
      </c>
      <c r="E215" s="29" t="str">
        <f t="shared" si="9"/>
        <v/>
      </c>
      <c r="F215" s="40"/>
      <c r="G215" s="29" t="str">
        <f t="shared" si="10"/>
        <v/>
      </c>
      <c r="H215" s="40"/>
      <c r="I215" s="29" t="str">
        <f t="shared" si="11"/>
        <v/>
      </c>
      <c r="J215" s="29"/>
    </row>
    <row r="216" spans="1:10" ht="22.05" customHeight="1" x14ac:dyDescent="0.45">
      <c r="A216" s="39" t="str">
        <f>IF(OR('Ground Schedule'!A47="",'Ground Schedule'!H47=""),"",'Ground Schedule'!A47)</f>
        <v/>
      </c>
      <c r="B216" s="29" t="str">
        <f>IF(A216="","",'Ground Schedule'!C47)</f>
        <v/>
      </c>
      <c r="C216" s="29" t="str">
        <f>IF(A216="","",'Ground Schedule'!H$4)</f>
        <v/>
      </c>
      <c r="D216" s="29" t="str">
        <f>IF(A216="","",'Ground Schedule'!H47)</f>
        <v/>
      </c>
      <c r="E216" s="29" t="str">
        <f t="shared" si="9"/>
        <v/>
      </c>
      <c r="F216" s="40"/>
      <c r="G216" s="29" t="str">
        <f t="shared" si="10"/>
        <v/>
      </c>
      <c r="H216" s="40"/>
      <c r="I216" s="29" t="str">
        <f t="shared" si="11"/>
        <v/>
      </c>
      <c r="J216" s="29"/>
    </row>
    <row r="217" spans="1:10" ht="22.05" customHeight="1" x14ac:dyDescent="0.45">
      <c r="A217" s="39" t="str">
        <f>IF(OR('Ground Schedule'!A47="",'Ground Schedule'!I47=""),"",'Ground Schedule'!A47)</f>
        <v/>
      </c>
      <c r="B217" s="29" t="str">
        <f>IF(A217="","",'Ground Schedule'!C47)</f>
        <v/>
      </c>
      <c r="C217" s="29" t="str">
        <f>IF(A217="","",'Ground Schedule'!I$4)</f>
        <v/>
      </c>
      <c r="D217" s="29" t="str">
        <f>IF(A217="","",'Ground Schedule'!I47)</f>
        <v/>
      </c>
      <c r="E217" s="29" t="str">
        <f t="shared" si="9"/>
        <v/>
      </c>
      <c r="F217" s="40"/>
      <c r="G217" s="29" t="str">
        <f t="shared" si="10"/>
        <v/>
      </c>
      <c r="H217" s="40"/>
      <c r="I217" s="29" t="str">
        <f t="shared" si="11"/>
        <v/>
      </c>
      <c r="J217" s="29"/>
    </row>
    <row r="218" spans="1:10" ht="22.05" customHeight="1" x14ac:dyDescent="0.45">
      <c r="A218" s="39" t="str">
        <f>IF(OR('Ground Schedule'!A47="",'Ground Schedule'!J47=""),"",'Ground Schedule'!A47)</f>
        <v/>
      </c>
      <c r="B218" s="29" t="str">
        <f>IF(A218="","",'Ground Schedule'!C47)</f>
        <v/>
      </c>
      <c r="C218" s="29" t="str">
        <f>IF(A218="","",'Ground Schedule'!J$4)</f>
        <v/>
      </c>
      <c r="D218" s="29" t="str">
        <f>IF(A218="","",'Ground Schedule'!J47)</f>
        <v/>
      </c>
      <c r="E218" s="29" t="str">
        <f t="shared" si="9"/>
        <v/>
      </c>
      <c r="F218" s="40"/>
      <c r="G218" s="29" t="str">
        <f t="shared" si="10"/>
        <v/>
      </c>
      <c r="H218" s="40"/>
      <c r="I218" s="29" t="str">
        <f t="shared" si="11"/>
        <v/>
      </c>
      <c r="J218" s="29"/>
    </row>
    <row r="219" spans="1:10" ht="22.05" customHeight="1" x14ac:dyDescent="0.45">
      <c r="A219" s="39" t="str">
        <f>IF(OR('Ground Schedule'!A48="",'Ground Schedule'!F48=""),"",'Ground Schedule'!A48)</f>
        <v/>
      </c>
      <c r="B219" s="29" t="str">
        <f>IF(A219="","",'Ground Schedule'!C48)</f>
        <v/>
      </c>
      <c r="C219" s="29" t="str">
        <f>IF(A219="","",'Ground Schedule'!F$4)</f>
        <v/>
      </c>
      <c r="D219" s="29" t="str">
        <f>IF(A219="","",'Ground Schedule'!F48)</f>
        <v/>
      </c>
      <c r="E219" s="29" t="str">
        <f t="shared" si="9"/>
        <v/>
      </c>
      <c r="F219" s="40"/>
      <c r="G219" s="29" t="str">
        <f t="shared" si="10"/>
        <v/>
      </c>
      <c r="H219" s="40"/>
      <c r="I219" s="29" t="str">
        <f t="shared" si="11"/>
        <v/>
      </c>
      <c r="J219" s="29"/>
    </row>
    <row r="220" spans="1:10" ht="22.05" customHeight="1" x14ac:dyDescent="0.45">
      <c r="A220" s="39" t="str">
        <f>IF(OR('Ground Schedule'!A48="",'Ground Schedule'!G48=""),"",'Ground Schedule'!A48)</f>
        <v/>
      </c>
      <c r="B220" s="29" t="str">
        <f>IF(A220="","",'Ground Schedule'!C48)</f>
        <v/>
      </c>
      <c r="C220" s="29" t="str">
        <f>IF(A220="","",'Ground Schedule'!G$4)</f>
        <v/>
      </c>
      <c r="D220" s="29" t="str">
        <f>IF(A220="","",'Ground Schedule'!G48)</f>
        <v/>
      </c>
      <c r="E220" s="29" t="str">
        <f t="shared" si="9"/>
        <v/>
      </c>
      <c r="F220" s="40"/>
      <c r="G220" s="29" t="str">
        <f t="shared" si="10"/>
        <v/>
      </c>
      <c r="H220" s="40"/>
      <c r="I220" s="29" t="str">
        <f t="shared" si="11"/>
        <v/>
      </c>
      <c r="J220" s="29"/>
    </row>
    <row r="221" spans="1:10" ht="22.05" customHeight="1" x14ac:dyDescent="0.45">
      <c r="A221" s="39" t="str">
        <f>IF(OR('Ground Schedule'!A48="",'Ground Schedule'!H48=""),"",'Ground Schedule'!A48)</f>
        <v/>
      </c>
      <c r="B221" s="29" t="str">
        <f>IF(A221="","",'Ground Schedule'!C48)</f>
        <v/>
      </c>
      <c r="C221" s="29" t="str">
        <f>IF(A221="","",'Ground Schedule'!H$4)</f>
        <v/>
      </c>
      <c r="D221" s="29" t="str">
        <f>IF(A221="","",'Ground Schedule'!H48)</f>
        <v/>
      </c>
      <c r="E221" s="29" t="str">
        <f t="shared" si="9"/>
        <v/>
      </c>
      <c r="F221" s="40"/>
      <c r="G221" s="29" t="str">
        <f t="shared" si="10"/>
        <v/>
      </c>
      <c r="H221" s="40"/>
      <c r="I221" s="29" t="str">
        <f t="shared" si="11"/>
        <v/>
      </c>
      <c r="J221" s="29"/>
    </row>
    <row r="222" spans="1:10" ht="22.05" customHeight="1" x14ac:dyDescent="0.45">
      <c r="A222" s="39" t="str">
        <f>IF(OR('Ground Schedule'!A48="",'Ground Schedule'!I48=""),"",'Ground Schedule'!A48)</f>
        <v/>
      </c>
      <c r="B222" s="29" t="str">
        <f>IF(A222="","",'Ground Schedule'!C48)</f>
        <v/>
      </c>
      <c r="C222" s="29" t="str">
        <f>IF(A222="","",'Ground Schedule'!I$4)</f>
        <v/>
      </c>
      <c r="D222" s="29" t="str">
        <f>IF(A222="","",'Ground Schedule'!I48)</f>
        <v/>
      </c>
      <c r="E222" s="29" t="str">
        <f t="shared" si="9"/>
        <v/>
      </c>
      <c r="F222" s="40"/>
      <c r="G222" s="29" t="str">
        <f t="shared" si="10"/>
        <v/>
      </c>
      <c r="H222" s="40"/>
      <c r="I222" s="29" t="str">
        <f t="shared" si="11"/>
        <v/>
      </c>
      <c r="J222" s="29"/>
    </row>
    <row r="223" spans="1:10" ht="22.05" customHeight="1" x14ac:dyDescent="0.45">
      <c r="A223" s="39" t="str">
        <f>IF(OR('Ground Schedule'!A48="",'Ground Schedule'!J48=""),"",'Ground Schedule'!A48)</f>
        <v/>
      </c>
      <c r="B223" s="29" t="str">
        <f>IF(A223="","",'Ground Schedule'!C48)</f>
        <v/>
      </c>
      <c r="C223" s="29" t="str">
        <f>IF(A223="","",'Ground Schedule'!J$4)</f>
        <v/>
      </c>
      <c r="D223" s="29" t="str">
        <f>IF(A223="","",'Ground Schedule'!J48)</f>
        <v/>
      </c>
      <c r="E223" s="29" t="str">
        <f t="shared" si="9"/>
        <v/>
      </c>
      <c r="F223" s="40"/>
      <c r="G223" s="29" t="str">
        <f t="shared" si="10"/>
        <v/>
      </c>
      <c r="H223" s="40"/>
      <c r="I223" s="29" t="str">
        <f t="shared" si="11"/>
        <v/>
      </c>
      <c r="J223" s="29"/>
    </row>
    <row r="224" spans="1:10" ht="22.05" customHeight="1" x14ac:dyDescent="0.45">
      <c r="A224" s="39" t="str">
        <f>IF(OR('Ground Schedule'!A49="",'Ground Schedule'!F49=""),"",'Ground Schedule'!A49)</f>
        <v/>
      </c>
      <c r="B224" s="29" t="str">
        <f>IF(A224="","",'Ground Schedule'!C49)</f>
        <v/>
      </c>
      <c r="C224" s="29" t="str">
        <f>IF(A224="","",'Ground Schedule'!F$4)</f>
        <v/>
      </c>
      <c r="D224" s="29" t="str">
        <f>IF(A224="","",'Ground Schedule'!F49)</f>
        <v/>
      </c>
      <c r="E224" s="29" t="str">
        <f t="shared" si="9"/>
        <v/>
      </c>
      <c r="F224" s="40"/>
      <c r="G224" s="29" t="str">
        <f t="shared" si="10"/>
        <v/>
      </c>
      <c r="H224" s="40"/>
      <c r="I224" s="29" t="str">
        <f t="shared" si="11"/>
        <v/>
      </c>
      <c r="J224" s="29"/>
    </row>
    <row r="225" spans="1:10" ht="22.05" customHeight="1" x14ac:dyDescent="0.45">
      <c r="A225" s="39" t="str">
        <f>IF(OR('Ground Schedule'!A49="",'Ground Schedule'!G49=""),"",'Ground Schedule'!A49)</f>
        <v/>
      </c>
      <c r="B225" s="29" t="str">
        <f>IF(A225="","",'Ground Schedule'!C49)</f>
        <v/>
      </c>
      <c r="C225" s="29" t="str">
        <f>IF(A225="","",'Ground Schedule'!G$4)</f>
        <v/>
      </c>
      <c r="D225" s="29" t="str">
        <f>IF(A225="","",'Ground Schedule'!G49)</f>
        <v/>
      </c>
      <c r="E225" s="29" t="str">
        <f t="shared" si="9"/>
        <v/>
      </c>
      <c r="F225" s="40"/>
      <c r="G225" s="29" t="str">
        <f t="shared" si="10"/>
        <v/>
      </c>
      <c r="H225" s="40"/>
      <c r="I225" s="29" t="str">
        <f t="shared" si="11"/>
        <v/>
      </c>
      <c r="J225" s="29"/>
    </row>
    <row r="226" spans="1:10" ht="22.05" customHeight="1" x14ac:dyDescent="0.45">
      <c r="A226" s="39" t="str">
        <f>IF(OR('Ground Schedule'!A49="",'Ground Schedule'!H49=""),"",'Ground Schedule'!A49)</f>
        <v/>
      </c>
      <c r="B226" s="29" t="str">
        <f>IF(A226="","",'Ground Schedule'!C49)</f>
        <v/>
      </c>
      <c r="C226" s="29" t="str">
        <f>IF(A226="","",'Ground Schedule'!H$4)</f>
        <v/>
      </c>
      <c r="D226" s="29" t="str">
        <f>IF(A226="","",'Ground Schedule'!H49)</f>
        <v/>
      </c>
      <c r="E226" s="29" t="str">
        <f t="shared" si="9"/>
        <v/>
      </c>
      <c r="F226" s="40"/>
      <c r="G226" s="29" t="str">
        <f t="shared" si="10"/>
        <v/>
      </c>
      <c r="H226" s="40"/>
      <c r="I226" s="29" t="str">
        <f t="shared" si="11"/>
        <v/>
      </c>
      <c r="J226" s="29"/>
    </row>
    <row r="227" spans="1:10" ht="22.05" customHeight="1" x14ac:dyDescent="0.45">
      <c r="A227" s="39" t="str">
        <f>IF(OR('Ground Schedule'!A49="",'Ground Schedule'!I49=""),"",'Ground Schedule'!A49)</f>
        <v/>
      </c>
      <c r="B227" s="29" t="str">
        <f>IF(A227="","",'Ground Schedule'!C49)</f>
        <v/>
      </c>
      <c r="C227" s="29" t="str">
        <f>IF(A227="","",'Ground Schedule'!I$4)</f>
        <v/>
      </c>
      <c r="D227" s="29" t="str">
        <f>IF(A227="","",'Ground Schedule'!I49)</f>
        <v/>
      </c>
      <c r="E227" s="29" t="str">
        <f t="shared" si="9"/>
        <v/>
      </c>
      <c r="F227" s="40"/>
      <c r="G227" s="29" t="str">
        <f t="shared" si="10"/>
        <v/>
      </c>
      <c r="H227" s="40"/>
      <c r="I227" s="29" t="str">
        <f t="shared" si="11"/>
        <v/>
      </c>
      <c r="J227" s="29"/>
    </row>
    <row r="228" spans="1:10" ht="22.05" customHeight="1" x14ac:dyDescent="0.45">
      <c r="A228" s="39" t="str">
        <f>IF(OR('Ground Schedule'!A49="",'Ground Schedule'!J49=""),"",'Ground Schedule'!A49)</f>
        <v/>
      </c>
      <c r="B228" s="29" t="str">
        <f>IF(A228="","",'Ground Schedule'!C49)</f>
        <v/>
      </c>
      <c r="C228" s="29" t="str">
        <f>IF(A228="","",'Ground Schedule'!J$4)</f>
        <v/>
      </c>
      <c r="D228" s="29" t="str">
        <f>IF(A228="","",'Ground Schedule'!J49)</f>
        <v/>
      </c>
      <c r="E228" s="29" t="str">
        <f t="shared" si="9"/>
        <v/>
      </c>
      <c r="F228" s="40"/>
      <c r="G228" s="29" t="str">
        <f t="shared" si="10"/>
        <v/>
      </c>
      <c r="H228" s="40"/>
      <c r="I228" s="29" t="str">
        <f t="shared" si="11"/>
        <v/>
      </c>
      <c r="J228" s="29"/>
    </row>
    <row r="229" spans="1:10" ht="22.05" customHeight="1" x14ac:dyDescent="0.45">
      <c r="A229" s="39" t="str">
        <f>IF(OR('Ground Schedule'!A50="",'Ground Schedule'!F50=""),"",'Ground Schedule'!A50)</f>
        <v/>
      </c>
      <c r="B229" s="29" t="str">
        <f>IF(A229="","",'Ground Schedule'!C50)</f>
        <v/>
      </c>
      <c r="C229" s="29" t="str">
        <f>IF(A229="","",'Ground Schedule'!F$4)</f>
        <v/>
      </c>
      <c r="D229" s="29" t="str">
        <f>IF(A229="","",'Ground Schedule'!F50)</f>
        <v/>
      </c>
      <c r="E229" s="29" t="str">
        <f t="shared" si="9"/>
        <v/>
      </c>
      <c r="F229" s="40"/>
      <c r="G229" s="29" t="str">
        <f t="shared" si="10"/>
        <v/>
      </c>
      <c r="H229" s="40"/>
      <c r="I229" s="29" t="str">
        <f t="shared" si="11"/>
        <v/>
      </c>
      <c r="J229" s="29"/>
    </row>
    <row r="230" spans="1:10" ht="22.05" customHeight="1" x14ac:dyDescent="0.45">
      <c r="A230" s="39" t="str">
        <f>IF(OR('Ground Schedule'!A50="",'Ground Schedule'!G50=""),"",'Ground Schedule'!A50)</f>
        <v/>
      </c>
      <c r="B230" s="29" t="str">
        <f>IF(A230="","",'Ground Schedule'!C50)</f>
        <v/>
      </c>
      <c r="C230" s="29" t="str">
        <f>IF(A230="","",'Ground Schedule'!G$4)</f>
        <v/>
      </c>
      <c r="D230" s="29" t="str">
        <f>IF(A230="","",'Ground Schedule'!G50)</f>
        <v/>
      </c>
      <c r="E230" s="29" t="str">
        <f t="shared" si="9"/>
        <v/>
      </c>
      <c r="F230" s="40"/>
      <c r="G230" s="29" t="str">
        <f t="shared" si="10"/>
        <v/>
      </c>
      <c r="H230" s="40"/>
      <c r="I230" s="29" t="str">
        <f t="shared" si="11"/>
        <v/>
      </c>
      <c r="J230" s="29"/>
    </row>
    <row r="231" spans="1:10" ht="22.05" customHeight="1" x14ac:dyDescent="0.45">
      <c r="A231" s="39" t="str">
        <f>IF(OR('Ground Schedule'!A50="",'Ground Schedule'!H50=""),"",'Ground Schedule'!A50)</f>
        <v/>
      </c>
      <c r="B231" s="29" t="str">
        <f>IF(A231="","",'Ground Schedule'!C50)</f>
        <v/>
      </c>
      <c r="C231" s="29" t="str">
        <f>IF(A231="","",'Ground Schedule'!H$4)</f>
        <v/>
      </c>
      <c r="D231" s="29" t="str">
        <f>IF(A231="","",'Ground Schedule'!H50)</f>
        <v/>
      </c>
      <c r="E231" s="29" t="str">
        <f t="shared" si="9"/>
        <v/>
      </c>
      <c r="F231" s="40"/>
      <c r="G231" s="29" t="str">
        <f t="shared" si="10"/>
        <v/>
      </c>
      <c r="H231" s="40"/>
      <c r="I231" s="29" t="str">
        <f t="shared" si="11"/>
        <v/>
      </c>
      <c r="J231" s="29"/>
    </row>
    <row r="232" spans="1:10" ht="22.05" customHeight="1" x14ac:dyDescent="0.45">
      <c r="A232" s="39" t="str">
        <f>IF(OR('Ground Schedule'!A50="",'Ground Schedule'!I50=""),"",'Ground Schedule'!A50)</f>
        <v/>
      </c>
      <c r="B232" s="29" t="str">
        <f>IF(A232="","",'Ground Schedule'!C50)</f>
        <v/>
      </c>
      <c r="C232" s="29" t="str">
        <f>IF(A232="","",'Ground Schedule'!I$4)</f>
        <v/>
      </c>
      <c r="D232" s="29" t="str">
        <f>IF(A232="","",'Ground Schedule'!I50)</f>
        <v/>
      </c>
      <c r="E232" s="29" t="str">
        <f t="shared" si="9"/>
        <v/>
      </c>
      <c r="F232" s="40"/>
      <c r="G232" s="29" t="str">
        <f t="shared" si="10"/>
        <v/>
      </c>
      <c r="H232" s="40"/>
      <c r="I232" s="29" t="str">
        <f t="shared" si="11"/>
        <v/>
      </c>
      <c r="J232" s="29"/>
    </row>
    <row r="233" spans="1:10" ht="22.05" customHeight="1" x14ac:dyDescent="0.45">
      <c r="A233" s="39" t="str">
        <f>IF(OR('Ground Schedule'!A50="",'Ground Schedule'!J50=""),"",'Ground Schedule'!A50)</f>
        <v/>
      </c>
      <c r="B233" s="29" t="str">
        <f>IF(A233="","",'Ground Schedule'!C50)</f>
        <v/>
      </c>
      <c r="C233" s="29" t="str">
        <f>IF(A233="","",'Ground Schedule'!J$4)</f>
        <v/>
      </c>
      <c r="D233" s="29" t="str">
        <f>IF(A233="","",'Ground Schedule'!J50)</f>
        <v/>
      </c>
      <c r="E233" s="29" t="str">
        <f t="shared" si="9"/>
        <v/>
      </c>
      <c r="F233" s="40"/>
      <c r="G233" s="29" t="str">
        <f t="shared" si="10"/>
        <v/>
      </c>
      <c r="H233" s="40"/>
      <c r="I233" s="29" t="str">
        <f t="shared" si="11"/>
        <v/>
      </c>
      <c r="J233" s="29"/>
    </row>
    <row r="234" spans="1:10" ht="22.05" customHeight="1" x14ac:dyDescent="0.45">
      <c r="A234" s="39" t="str">
        <f>IF(OR('Ground Schedule'!A51="",'Ground Schedule'!F51=""),"",'Ground Schedule'!A51)</f>
        <v/>
      </c>
      <c r="B234" s="29" t="str">
        <f>IF(A234="","",'Ground Schedule'!C51)</f>
        <v/>
      </c>
      <c r="C234" s="29" t="str">
        <f>IF(A234="","",'Ground Schedule'!F$4)</f>
        <v/>
      </c>
      <c r="D234" s="29" t="str">
        <f>IF(A234="","",'Ground Schedule'!F51)</f>
        <v/>
      </c>
      <c r="E234" s="29" t="str">
        <f t="shared" si="9"/>
        <v/>
      </c>
      <c r="F234" s="40"/>
      <c r="G234" s="29" t="str">
        <f t="shared" si="10"/>
        <v/>
      </c>
      <c r="H234" s="40"/>
      <c r="I234" s="29" t="str">
        <f t="shared" si="11"/>
        <v/>
      </c>
      <c r="J234" s="29"/>
    </row>
    <row r="235" spans="1:10" ht="22.05" customHeight="1" x14ac:dyDescent="0.45">
      <c r="A235" s="39" t="str">
        <f>IF(OR('Ground Schedule'!A51="",'Ground Schedule'!G51=""),"",'Ground Schedule'!A51)</f>
        <v/>
      </c>
      <c r="B235" s="29" t="str">
        <f>IF(A235="","",'Ground Schedule'!C51)</f>
        <v/>
      </c>
      <c r="C235" s="29" t="str">
        <f>IF(A235="","",'Ground Schedule'!G$4)</f>
        <v/>
      </c>
      <c r="D235" s="29" t="str">
        <f>IF(A235="","",'Ground Schedule'!G51)</f>
        <v/>
      </c>
      <c r="E235" s="29" t="str">
        <f t="shared" si="9"/>
        <v/>
      </c>
      <c r="F235" s="40"/>
      <c r="G235" s="29" t="str">
        <f t="shared" si="10"/>
        <v/>
      </c>
      <c r="H235" s="40"/>
      <c r="I235" s="29" t="str">
        <f t="shared" si="11"/>
        <v/>
      </c>
      <c r="J235" s="29"/>
    </row>
    <row r="236" spans="1:10" ht="22.05" customHeight="1" x14ac:dyDescent="0.45">
      <c r="A236" s="39" t="str">
        <f>IF(OR('Ground Schedule'!A51="",'Ground Schedule'!H51=""),"",'Ground Schedule'!A51)</f>
        <v/>
      </c>
      <c r="B236" s="29" t="str">
        <f>IF(A236="","",'Ground Schedule'!C51)</f>
        <v/>
      </c>
      <c r="C236" s="29" t="str">
        <f>IF(A236="","",'Ground Schedule'!H$4)</f>
        <v/>
      </c>
      <c r="D236" s="29" t="str">
        <f>IF(A236="","",'Ground Schedule'!H51)</f>
        <v/>
      </c>
      <c r="E236" s="29" t="str">
        <f t="shared" si="9"/>
        <v/>
      </c>
      <c r="F236" s="40"/>
      <c r="G236" s="29" t="str">
        <f t="shared" si="10"/>
        <v/>
      </c>
      <c r="H236" s="40"/>
      <c r="I236" s="29" t="str">
        <f t="shared" si="11"/>
        <v/>
      </c>
      <c r="J236" s="29"/>
    </row>
    <row r="237" spans="1:10" ht="22.05" customHeight="1" x14ac:dyDescent="0.45">
      <c r="A237" s="39" t="str">
        <f>IF(OR('Ground Schedule'!A51="",'Ground Schedule'!I51=""),"",'Ground Schedule'!A51)</f>
        <v/>
      </c>
      <c r="B237" s="29" t="str">
        <f>IF(A237="","",'Ground Schedule'!C51)</f>
        <v/>
      </c>
      <c r="C237" s="29" t="str">
        <f>IF(A237="","",'Ground Schedule'!I$4)</f>
        <v/>
      </c>
      <c r="D237" s="29" t="str">
        <f>IF(A237="","",'Ground Schedule'!I51)</f>
        <v/>
      </c>
      <c r="E237" s="29" t="str">
        <f t="shared" si="9"/>
        <v/>
      </c>
      <c r="F237" s="40"/>
      <c r="G237" s="29" t="str">
        <f t="shared" si="10"/>
        <v/>
      </c>
      <c r="H237" s="40"/>
      <c r="I237" s="29" t="str">
        <f t="shared" si="11"/>
        <v/>
      </c>
      <c r="J237" s="29"/>
    </row>
    <row r="238" spans="1:10" ht="22.05" customHeight="1" x14ac:dyDescent="0.45">
      <c r="A238" s="39" t="str">
        <f>IF(OR('Ground Schedule'!A51="",'Ground Schedule'!J51=""),"",'Ground Schedule'!A51)</f>
        <v/>
      </c>
      <c r="B238" s="29" t="str">
        <f>IF(A238="","",'Ground Schedule'!C51)</f>
        <v/>
      </c>
      <c r="C238" s="29" t="str">
        <f>IF(A238="","",'Ground Schedule'!J$4)</f>
        <v/>
      </c>
      <c r="D238" s="29" t="str">
        <f>IF(A238="","",'Ground Schedule'!J51)</f>
        <v/>
      </c>
      <c r="E238" s="29" t="str">
        <f t="shared" si="9"/>
        <v/>
      </c>
      <c r="F238" s="40"/>
      <c r="G238" s="29" t="str">
        <f t="shared" si="10"/>
        <v/>
      </c>
      <c r="H238" s="40"/>
      <c r="I238" s="29" t="str">
        <f t="shared" si="11"/>
        <v/>
      </c>
      <c r="J238" s="29"/>
    </row>
    <row r="239" spans="1:10" ht="22.05" customHeight="1" x14ac:dyDescent="0.45">
      <c r="A239" s="39" t="str">
        <f>IF(OR('Ground Schedule'!A52="",'Ground Schedule'!F52=""),"",'Ground Schedule'!A52)</f>
        <v/>
      </c>
      <c r="B239" s="29" t="str">
        <f>IF(A239="","",'Ground Schedule'!C52)</f>
        <v/>
      </c>
      <c r="C239" s="29" t="str">
        <f>IF(A239="","",'Ground Schedule'!F$4)</f>
        <v/>
      </c>
      <c r="D239" s="29" t="str">
        <f>IF(A239="","",'Ground Schedule'!F52)</f>
        <v/>
      </c>
      <c r="E239" s="29" t="str">
        <f t="shared" si="9"/>
        <v/>
      </c>
      <c r="F239" s="40"/>
      <c r="G239" s="29" t="str">
        <f t="shared" si="10"/>
        <v/>
      </c>
      <c r="H239" s="40"/>
      <c r="I239" s="29" t="str">
        <f t="shared" si="11"/>
        <v/>
      </c>
      <c r="J239" s="29"/>
    </row>
    <row r="240" spans="1:10" ht="22.05" customHeight="1" x14ac:dyDescent="0.45">
      <c r="A240" s="39" t="str">
        <f>IF(OR('Ground Schedule'!A52="",'Ground Schedule'!G52=""),"",'Ground Schedule'!A52)</f>
        <v/>
      </c>
      <c r="B240" s="29" t="str">
        <f>IF(A240="","",'Ground Schedule'!C52)</f>
        <v/>
      </c>
      <c r="C240" s="29" t="str">
        <f>IF(A240="","",'Ground Schedule'!G$4)</f>
        <v/>
      </c>
      <c r="D240" s="29" t="str">
        <f>IF(A240="","",'Ground Schedule'!G52)</f>
        <v/>
      </c>
      <c r="E240" s="29" t="str">
        <f t="shared" si="9"/>
        <v/>
      </c>
      <c r="F240" s="40"/>
      <c r="G240" s="29" t="str">
        <f t="shared" si="10"/>
        <v/>
      </c>
      <c r="H240" s="40"/>
      <c r="I240" s="29" t="str">
        <f t="shared" si="11"/>
        <v/>
      </c>
      <c r="J240" s="29"/>
    </row>
    <row r="241" spans="1:10" ht="22.05" customHeight="1" x14ac:dyDescent="0.45">
      <c r="A241" s="39" t="str">
        <f>IF(OR('Ground Schedule'!A52="",'Ground Schedule'!H52=""),"",'Ground Schedule'!A52)</f>
        <v/>
      </c>
      <c r="B241" s="29" t="str">
        <f>IF(A241="","",'Ground Schedule'!C52)</f>
        <v/>
      </c>
      <c r="C241" s="29" t="str">
        <f>IF(A241="","",'Ground Schedule'!H$4)</f>
        <v/>
      </c>
      <c r="D241" s="29" t="str">
        <f>IF(A241="","",'Ground Schedule'!H52)</f>
        <v/>
      </c>
      <c r="E241" s="29" t="str">
        <f t="shared" si="9"/>
        <v/>
      </c>
      <c r="F241" s="40"/>
      <c r="G241" s="29" t="str">
        <f t="shared" si="10"/>
        <v/>
      </c>
      <c r="H241" s="40"/>
      <c r="I241" s="29" t="str">
        <f t="shared" si="11"/>
        <v/>
      </c>
      <c r="J241" s="29"/>
    </row>
    <row r="242" spans="1:10" ht="22.05" customHeight="1" x14ac:dyDescent="0.45">
      <c r="A242" s="39" t="str">
        <f>IF(OR('Ground Schedule'!A52="",'Ground Schedule'!I52=""),"",'Ground Schedule'!A52)</f>
        <v/>
      </c>
      <c r="B242" s="29" t="str">
        <f>IF(A242="","",'Ground Schedule'!C52)</f>
        <v/>
      </c>
      <c r="C242" s="29" t="str">
        <f>IF(A242="","",'Ground Schedule'!I$4)</f>
        <v/>
      </c>
      <c r="D242" s="29" t="str">
        <f>IF(A242="","",'Ground Schedule'!I52)</f>
        <v/>
      </c>
      <c r="E242" s="29" t="str">
        <f t="shared" si="9"/>
        <v/>
      </c>
      <c r="F242" s="40"/>
      <c r="G242" s="29" t="str">
        <f t="shared" si="10"/>
        <v/>
      </c>
      <c r="H242" s="40"/>
      <c r="I242" s="29" t="str">
        <f t="shared" si="11"/>
        <v/>
      </c>
      <c r="J242" s="29"/>
    </row>
    <row r="243" spans="1:10" ht="22.05" customHeight="1" x14ac:dyDescent="0.45">
      <c r="A243" s="39" t="str">
        <f>IF(OR('Ground Schedule'!A52="",'Ground Schedule'!J52=""),"",'Ground Schedule'!A52)</f>
        <v/>
      </c>
      <c r="B243" s="29" t="str">
        <f>IF(A243="","",'Ground Schedule'!C52)</f>
        <v/>
      </c>
      <c r="C243" s="29" t="str">
        <f>IF(A243="","",'Ground Schedule'!J$4)</f>
        <v/>
      </c>
      <c r="D243" s="29" t="str">
        <f>IF(A243="","",'Ground Schedule'!J52)</f>
        <v/>
      </c>
      <c r="E243" s="29" t="str">
        <f t="shared" si="9"/>
        <v/>
      </c>
      <c r="F243" s="40"/>
      <c r="G243" s="29" t="str">
        <f t="shared" si="10"/>
        <v/>
      </c>
      <c r="H243" s="40"/>
      <c r="I243" s="29" t="str">
        <f t="shared" si="11"/>
        <v/>
      </c>
      <c r="J243" s="29"/>
    </row>
    <row r="244" spans="1:10" ht="22.05" customHeight="1" x14ac:dyDescent="0.45">
      <c r="A244" s="39" t="str">
        <f>IF(OR('Ground Schedule'!A53="",'Ground Schedule'!F53=""),"",'Ground Schedule'!A53)</f>
        <v/>
      </c>
      <c r="B244" s="29" t="str">
        <f>IF(A244="","",'Ground Schedule'!C53)</f>
        <v/>
      </c>
      <c r="C244" s="29" t="str">
        <f>IF(A244="","",'Ground Schedule'!F$4)</f>
        <v/>
      </c>
      <c r="D244" s="29" t="str">
        <f>IF(A244="","",'Ground Schedule'!F53)</f>
        <v/>
      </c>
      <c r="E244" s="29" t="str">
        <f t="shared" si="9"/>
        <v/>
      </c>
      <c r="F244" s="40"/>
      <c r="G244" s="29" t="str">
        <f t="shared" si="10"/>
        <v/>
      </c>
      <c r="H244" s="40"/>
      <c r="I244" s="29" t="str">
        <f t="shared" si="11"/>
        <v/>
      </c>
      <c r="J244" s="29"/>
    </row>
    <row r="245" spans="1:10" ht="22.05" customHeight="1" x14ac:dyDescent="0.45">
      <c r="A245" s="39" t="str">
        <f>IF(OR('Ground Schedule'!A53="",'Ground Schedule'!G53=""),"",'Ground Schedule'!A53)</f>
        <v/>
      </c>
      <c r="B245" s="29" t="str">
        <f>IF(A245="","",'Ground Schedule'!C53)</f>
        <v/>
      </c>
      <c r="C245" s="29" t="str">
        <f>IF(A245="","",'Ground Schedule'!G$4)</f>
        <v/>
      </c>
      <c r="D245" s="29" t="str">
        <f>IF(A245="","",'Ground Schedule'!G53)</f>
        <v/>
      </c>
      <c r="E245" s="29" t="str">
        <f t="shared" si="9"/>
        <v/>
      </c>
      <c r="F245" s="40"/>
      <c r="G245" s="29" t="str">
        <f t="shared" si="10"/>
        <v/>
      </c>
      <c r="H245" s="40"/>
      <c r="I245" s="29" t="str">
        <f t="shared" si="11"/>
        <v/>
      </c>
      <c r="J245" s="29"/>
    </row>
    <row r="246" spans="1:10" ht="22.05" customHeight="1" x14ac:dyDescent="0.45">
      <c r="A246" s="39" t="str">
        <f>IF(OR('Ground Schedule'!A53="",'Ground Schedule'!H53=""),"",'Ground Schedule'!A53)</f>
        <v/>
      </c>
      <c r="B246" s="29" t="str">
        <f>IF(A246="","",'Ground Schedule'!C53)</f>
        <v/>
      </c>
      <c r="C246" s="29" t="str">
        <f>IF(A246="","",'Ground Schedule'!H$4)</f>
        <v/>
      </c>
      <c r="D246" s="29" t="str">
        <f>IF(A246="","",'Ground Schedule'!H53)</f>
        <v/>
      </c>
      <c r="E246" s="29" t="str">
        <f t="shared" si="9"/>
        <v/>
      </c>
      <c r="F246" s="40"/>
      <c r="G246" s="29" t="str">
        <f t="shared" si="10"/>
        <v/>
      </c>
      <c r="H246" s="40"/>
      <c r="I246" s="29" t="str">
        <f t="shared" si="11"/>
        <v/>
      </c>
      <c r="J246" s="29"/>
    </row>
    <row r="247" spans="1:10" ht="22.05" customHeight="1" x14ac:dyDescent="0.45">
      <c r="A247" s="39" t="str">
        <f>IF(OR('Ground Schedule'!A53="",'Ground Schedule'!I53=""),"",'Ground Schedule'!A53)</f>
        <v/>
      </c>
      <c r="B247" s="29" t="str">
        <f>IF(A247="","",'Ground Schedule'!C53)</f>
        <v/>
      </c>
      <c r="C247" s="29" t="str">
        <f>IF(A247="","",'Ground Schedule'!I$4)</f>
        <v/>
      </c>
      <c r="D247" s="29" t="str">
        <f>IF(A247="","",'Ground Schedule'!I53)</f>
        <v/>
      </c>
      <c r="E247" s="29" t="str">
        <f t="shared" si="9"/>
        <v/>
      </c>
      <c r="F247" s="40"/>
      <c r="G247" s="29" t="str">
        <f t="shared" si="10"/>
        <v/>
      </c>
      <c r="H247" s="40"/>
      <c r="I247" s="29" t="str">
        <f t="shared" si="11"/>
        <v/>
      </c>
      <c r="J247" s="29"/>
    </row>
    <row r="248" spans="1:10" ht="22.05" customHeight="1" x14ac:dyDescent="0.45">
      <c r="A248" s="39" t="str">
        <f>IF(OR('Ground Schedule'!A53="",'Ground Schedule'!J53=""),"",'Ground Schedule'!A53)</f>
        <v/>
      </c>
      <c r="B248" s="29" t="str">
        <f>IF(A248="","",'Ground Schedule'!C53)</f>
        <v/>
      </c>
      <c r="C248" s="29" t="str">
        <f>IF(A248="","",'Ground Schedule'!J$4)</f>
        <v/>
      </c>
      <c r="D248" s="29" t="str">
        <f>IF(A248="","",'Ground Schedule'!J53)</f>
        <v/>
      </c>
      <c r="E248" s="29" t="str">
        <f t="shared" si="9"/>
        <v/>
      </c>
      <c r="F248" s="40"/>
      <c r="G248" s="29" t="str">
        <f t="shared" si="10"/>
        <v/>
      </c>
      <c r="H248" s="40"/>
      <c r="I248" s="29" t="str">
        <f t="shared" si="11"/>
        <v/>
      </c>
      <c r="J248" s="29"/>
    </row>
    <row r="249" spans="1:10" ht="22.05" customHeight="1" x14ac:dyDescent="0.45">
      <c r="A249" s="39" t="str">
        <f>IF(OR('Ground Schedule'!A54="",'Ground Schedule'!F54=""),"",'Ground Schedule'!A54)</f>
        <v/>
      </c>
      <c r="B249" s="29" t="str">
        <f>IF(A249="","",'Ground Schedule'!C54)</f>
        <v/>
      </c>
      <c r="C249" s="29" t="str">
        <f>IF(A249="","",'Ground Schedule'!F$4)</f>
        <v/>
      </c>
      <c r="D249" s="29" t="str">
        <f>IF(A249="","",'Ground Schedule'!F54)</f>
        <v/>
      </c>
      <c r="E249" s="29" t="str">
        <f t="shared" si="9"/>
        <v/>
      </c>
      <c r="F249" s="40"/>
      <c r="G249" s="29" t="str">
        <f t="shared" si="10"/>
        <v/>
      </c>
      <c r="H249" s="40"/>
      <c r="I249" s="29" t="str">
        <f t="shared" si="11"/>
        <v/>
      </c>
      <c r="J249" s="29"/>
    </row>
    <row r="250" spans="1:10" ht="22.05" customHeight="1" x14ac:dyDescent="0.45">
      <c r="A250" s="39" t="str">
        <f>IF(OR('Ground Schedule'!A54="",'Ground Schedule'!G54=""),"",'Ground Schedule'!A54)</f>
        <v/>
      </c>
      <c r="B250" s="29" t="str">
        <f>IF(A250="","",'Ground Schedule'!C54)</f>
        <v/>
      </c>
      <c r="C250" s="29" t="str">
        <f>IF(A250="","",'Ground Schedule'!G$4)</f>
        <v/>
      </c>
      <c r="D250" s="29" t="str">
        <f>IF(A250="","",'Ground Schedule'!G54)</f>
        <v/>
      </c>
      <c r="E250" s="29" t="str">
        <f t="shared" si="9"/>
        <v/>
      </c>
      <c r="F250" s="40"/>
      <c r="G250" s="29" t="str">
        <f t="shared" si="10"/>
        <v/>
      </c>
      <c r="H250" s="40"/>
      <c r="I250" s="29" t="str">
        <f t="shared" si="11"/>
        <v/>
      </c>
      <c r="J250" s="29"/>
    </row>
    <row r="251" spans="1:10" ht="22.05" customHeight="1" x14ac:dyDescent="0.45">
      <c r="A251" s="39" t="str">
        <f>IF(OR('Ground Schedule'!A54="",'Ground Schedule'!H54=""),"",'Ground Schedule'!A54)</f>
        <v/>
      </c>
      <c r="B251" s="29" t="str">
        <f>IF(A251="","",'Ground Schedule'!C54)</f>
        <v/>
      </c>
      <c r="C251" s="29" t="str">
        <f>IF(A251="","",'Ground Schedule'!H$4)</f>
        <v/>
      </c>
      <c r="D251" s="29" t="str">
        <f>IF(A251="","",'Ground Schedule'!H54)</f>
        <v/>
      </c>
      <c r="E251" s="29" t="str">
        <f t="shared" si="9"/>
        <v/>
      </c>
      <c r="F251" s="40"/>
      <c r="G251" s="29" t="str">
        <f t="shared" si="10"/>
        <v/>
      </c>
      <c r="H251" s="40"/>
      <c r="I251" s="29" t="str">
        <f t="shared" si="11"/>
        <v/>
      </c>
      <c r="J251" s="29"/>
    </row>
    <row r="252" spans="1:10" ht="22.05" customHeight="1" x14ac:dyDescent="0.45">
      <c r="A252" s="39" t="str">
        <f>IF(OR('Ground Schedule'!A54="",'Ground Schedule'!I54=""),"",'Ground Schedule'!A54)</f>
        <v/>
      </c>
      <c r="B252" s="29" t="str">
        <f>IF(A252="","",'Ground Schedule'!C54)</f>
        <v/>
      </c>
      <c r="C252" s="29" t="str">
        <f>IF(A252="","",'Ground Schedule'!I$4)</f>
        <v/>
      </c>
      <c r="D252" s="29" t="str">
        <f>IF(A252="","",'Ground Schedule'!I54)</f>
        <v/>
      </c>
      <c r="E252" s="29" t="str">
        <f t="shared" si="9"/>
        <v/>
      </c>
      <c r="F252" s="40"/>
      <c r="G252" s="29" t="str">
        <f t="shared" si="10"/>
        <v/>
      </c>
      <c r="H252" s="40"/>
      <c r="I252" s="29" t="str">
        <f t="shared" si="11"/>
        <v/>
      </c>
      <c r="J252" s="29"/>
    </row>
    <row r="253" spans="1:10" ht="22.05" customHeight="1" x14ac:dyDescent="0.45">
      <c r="A253" s="39" t="str">
        <f>IF(OR('Ground Schedule'!A54="",'Ground Schedule'!J54=""),"",'Ground Schedule'!A54)</f>
        <v/>
      </c>
      <c r="B253" s="29" t="str">
        <f>IF(A253="","",'Ground Schedule'!C54)</f>
        <v/>
      </c>
      <c r="C253" s="29" t="str">
        <f>IF(A253="","",'Ground Schedule'!J$4)</f>
        <v/>
      </c>
      <c r="D253" s="29" t="str">
        <f>IF(A253="","",'Ground Schedule'!J54)</f>
        <v/>
      </c>
      <c r="E253" s="29" t="str">
        <f t="shared" si="9"/>
        <v/>
      </c>
      <c r="F253" s="40"/>
      <c r="G253" s="29" t="str">
        <f t="shared" si="10"/>
        <v/>
      </c>
      <c r="H253" s="40"/>
      <c r="I253" s="29" t="str">
        <f t="shared" si="11"/>
        <v/>
      </c>
      <c r="J253" s="29"/>
    </row>
    <row r="254" spans="1:10" ht="22.05" customHeight="1" x14ac:dyDescent="0.45">
      <c r="A254" s="39" t="str">
        <f>IF(OR('Ground Schedule'!A55="",'Ground Schedule'!F55=""),"",'Ground Schedule'!A55)</f>
        <v/>
      </c>
      <c r="B254" s="29" t="str">
        <f>IF(A254="","",'Ground Schedule'!C55)</f>
        <v/>
      </c>
      <c r="C254" s="29" t="str">
        <f>IF(A254="","",'Ground Schedule'!F$4)</f>
        <v/>
      </c>
      <c r="D254" s="29" t="str">
        <f>IF(A254="","",'Ground Schedule'!F55)</f>
        <v/>
      </c>
      <c r="E254" s="29" t="str">
        <f t="shared" si="9"/>
        <v/>
      </c>
      <c r="F254" s="40"/>
      <c r="G254" s="29" t="str">
        <f t="shared" si="10"/>
        <v/>
      </c>
      <c r="H254" s="40"/>
      <c r="I254" s="29" t="str">
        <f t="shared" si="11"/>
        <v/>
      </c>
      <c r="J254" s="29"/>
    </row>
    <row r="255" spans="1:10" ht="22.05" customHeight="1" x14ac:dyDescent="0.45">
      <c r="A255" s="39" t="str">
        <f>IF(OR('Ground Schedule'!A55="",'Ground Schedule'!G55=""),"",'Ground Schedule'!A55)</f>
        <v/>
      </c>
      <c r="B255" s="29" t="str">
        <f>IF(A255="","",'Ground Schedule'!C55)</f>
        <v/>
      </c>
      <c r="C255" s="29" t="str">
        <f>IF(A255="","",'Ground Schedule'!G$4)</f>
        <v/>
      </c>
      <c r="D255" s="29" t="str">
        <f>IF(A255="","",'Ground Schedule'!G55)</f>
        <v/>
      </c>
      <c r="E255" s="29" t="str">
        <f t="shared" si="9"/>
        <v/>
      </c>
      <c r="F255" s="40"/>
      <c r="G255" s="29" t="str">
        <f t="shared" si="10"/>
        <v/>
      </c>
      <c r="H255" s="40"/>
      <c r="I255" s="29" t="str">
        <f t="shared" si="11"/>
        <v/>
      </c>
      <c r="J255" s="29"/>
    </row>
    <row r="256" spans="1:10" ht="22.05" customHeight="1" x14ac:dyDescent="0.45">
      <c r="A256" s="39" t="str">
        <f>IF(OR('Ground Schedule'!A55="",'Ground Schedule'!H55=""),"",'Ground Schedule'!A55)</f>
        <v/>
      </c>
      <c r="B256" s="29" t="str">
        <f>IF(A256="","",'Ground Schedule'!C55)</f>
        <v/>
      </c>
      <c r="C256" s="29" t="str">
        <f>IF(A256="","",'Ground Schedule'!H$4)</f>
        <v/>
      </c>
      <c r="D256" s="29" t="str">
        <f>IF(A256="","",'Ground Schedule'!H55)</f>
        <v/>
      </c>
      <c r="E256" s="29" t="str">
        <f t="shared" si="9"/>
        <v/>
      </c>
      <c r="F256" s="40"/>
      <c r="G256" s="29" t="str">
        <f t="shared" si="10"/>
        <v/>
      </c>
      <c r="H256" s="40"/>
      <c r="I256" s="29" t="str">
        <f t="shared" si="11"/>
        <v/>
      </c>
      <c r="J256" s="29"/>
    </row>
    <row r="257" spans="1:10" ht="22.05" customHeight="1" x14ac:dyDescent="0.45">
      <c r="A257" s="39" t="str">
        <f>IF(OR('Ground Schedule'!A55="",'Ground Schedule'!I55=""),"",'Ground Schedule'!A55)</f>
        <v/>
      </c>
      <c r="B257" s="29" t="str">
        <f>IF(A257="","",'Ground Schedule'!C55)</f>
        <v/>
      </c>
      <c r="C257" s="29" t="str">
        <f>IF(A257="","",'Ground Schedule'!I$4)</f>
        <v/>
      </c>
      <c r="D257" s="29" t="str">
        <f>IF(A257="","",'Ground Schedule'!I55)</f>
        <v/>
      </c>
      <c r="E257" s="29" t="str">
        <f t="shared" si="9"/>
        <v/>
      </c>
      <c r="F257" s="40"/>
      <c r="G257" s="29" t="str">
        <f t="shared" si="10"/>
        <v/>
      </c>
      <c r="H257" s="40"/>
      <c r="I257" s="29" t="str">
        <f t="shared" si="11"/>
        <v/>
      </c>
      <c r="J257" s="29"/>
    </row>
    <row r="258" spans="1:10" ht="22.05" customHeight="1" x14ac:dyDescent="0.45">
      <c r="A258" s="39" t="str">
        <f>IF(OR('Ground Schedule'!A55="",'Ground Schedule'!J55=""),"",'Ground Schedule'!A55)</f>
        <v/>
      </c>
      <c r="B258" s="29" t="str">
        <f>IF(A258="","",'Ground Schedule'!C55)</f>
        <v/>
      </c>
      <c r="C258" s="29" t="str">
        <f>IF(A258="","",'Ground Schedule'!J$4)</f>
        <v/>
      </c>
      <c r="D258" s="29" t="str">
        <f>IF(A258="","",'Ground Schedule'!J55)</f>
        <v/>
      </c>
      <c r="E258" s="29" t="str">
        <f t="shared" si="9"/>
        <v/>
      </c>
      <c r="F258" s="40"/>
      <c r="G258" s="29" t="str">
        <f t="shared" si="10"/>
        <v/>
      </c>
      <c r="H258" s="40"/>
      <c r="I258" s="29" t="str">
        <f t="shared" si="11"/>
        <v/>
      </c>
      <c r="J258" s="29"/>
    </row>
    <row r="259" spans="1:10" ht="22.05" customHeight="1" x14ac:dyDescent="0.45">
      <c r="A259" s="39" t="str">
        <f>IF(OR('Ground Schedule'!A56="",'Ground Schedule'!F56=""),"",'Ground Schedule'!A56)</f>
        <v/>
      </c>
      <c r="B259" s="29" t="str">
        <f>IF(A259="","",'Ground Schedule'!C56)</f>
        <v/>
      </c>
      <c r="C259" s="29" t="str">
        <f>IF(A259="","",'Ground Schedule'!F$4)</f>
        <v/>
      </c>
      <c r="D259" s="29" t="str">
        <f>IF(A259="","",'Ground Schedule'!F56)</f>
        <v/>
      </c>
      <c r="E259" s="29" t="str">
        <f t="shared" si="9"/>
        <v/>
      </c>
      <c r="F259" s="40"/>
      <c r="G259" s="29" t="str">
        <f t="shared" si="10"/>
        <v/>
      </c>
      <c r="H259" s="40"/>
      <c r="I259" s="29" t="str">
        <f t="shared" si="11"/>
        <v/>
      </c>
      <c r="J259" s="29"/>
    </row>
    <row r="260" spans="1:10" ht="22.05" customHeight="1" x14ac:dyDescent="0.45">
      <c r="A260" s="39" t="str">
        <f>IF(OR('Ground Schedule'!A56="",'Ground Schedule'!G56=""),"",'Ground Schedule'!A56)</f>
        <v/>
      </c>
      <c r="B260" s="29" t="str">
        <f>IF(A260="","",'Ground Schedule'!C56)</f>
        <v/>
      </c>
      <c r="C260" s="29" t="str">
        <f>IF(A260="","",'Ground Schedule'!G$4)</f>
        <v/>
      </c>
      <c r="D260" s="29" t="str">
        <f>IF(A260="","",'Ground Schedule'!G56)</f>
        <v/>
      </c>
      <c r="E260" s="29" t="str">
        <f t="shared" ref="E260:E323" si="12">IFERROR(TRIM(LEFT(D260,SEARCH(" vs ",D260)-1)),"")</f>
        <v/>
      </c>
      <c r="F260" s="40"/>
      <c r="G260" s="29" t="str">
        <f t="shared" ref="G260:G323" si="13">IFERROR(TRIM(MID(D260,SEARCH(" vs ",D260)+4,LEN(D260))),"")</f>
        <v/>
      </c>
      <c r="H260" s="40"/>
      <c r="I260" s="29" t="str">
        <f t="shared" ref="I260:I323" si="14">IF(OR(E260="",G260=""),"",IF(AND(F260="Paid",H260="Paid"),"Both Paid",IF(AND(OR(F260="Pending",F260=""),OR(H260="Pending",H260="")),"Both Pending",IF(AND(F260="Not Applicable",H260="Not Applicable"),"Not Applicable",IF(OR(F260="Paid",H260="Paid"),"Partially Paid","Pending")))))</f>
        <v/>
      </c>
      <c r="J260" s="29"/>
    </row>
    <row r="261" spans="1:10" ht="22.05" customHeight="1" x14ac:dyDescent="0.45">
      <c r="A261" s="39" t="str">
        <f>IF(OR('Ground Schedule'!A56="",'Ground Schedule'!H56=""),"",'Ground Schedule'!A56)</f>
        <v/>
      </c>
      <c r="B261" s="29" t="str">
        <f>IF(A261="","",'Ground Schedule'!C56)</f>
        <v/>
      </c>
      <c r="C261" s="29" t="str">
        <f>IF(A261="","",'Ground Schedule'!H$4)</f>
        <v/>
      </c>
      <c r="D261" s="29" t="str">
        <f>IF(A261="","",'Ground Schedule'!H56)</f>
        <v/>
      </c>
      <c r="E261" s="29" t="str">
        <f t="shared" si="12"/>
        <v/>
      </c>
      <c r="F261" s="40"/>
      <c r="G261" s="29" t="str">
        <f t="shared" si="13"/>
        <v/>
      </c>
      <c r="H261" s="40"/>
      <c r="I261" s="29" t="str">
        <f t="shared" si="14"/>
        <v/>
      </c>
      <c r="J261" s="29"/>
    </row>
    <row r="262" spans="1:10" ht="22.05" customHeight="1" x14ac:dyDescent="0.45">
      <c r="A262" s="39" t="str">
        <f>IF(OR('Ground Schedule'!A56="",'Ground Schedule'!I56=""),"",'Ground Schedule'!A56)</f>
        <v/>
      </c>
      <c r="B262" s="29" t="str">
        <f>IF(A262="","",'Ground Schedule'!C56)</f>
        <v/>
      </c>
      <c r="C262" s="29" t="str">
        <f>IF(A262="","",'Ground Schedule'!I$4)</f>
        <v/>
      </c>
      <c r="D262" s="29" t="str">
        <f>IF(A262="","",'Ground Schedule'!I56)</f>
        <v/>
      </c>
      <c r="E262" s="29" t="str">
        <f t="shared" si="12"/>
        <v/>
      </c>
      <c r="F262" s="40"/>
      <c r="G262" s="29" t="str">
        <f t="shared" si="13"/>
        <v/>
      </c>
      <c r="H262" s="40"/>
      <c r="I262" s="29" t="str">
        <f t="shared" si="14"/>
        <v/>
      </c>
      <c r="J262" s="29"/>
    </row>
    <row r="263" spans="1:10" ht="22.05" customHeight="1" x14ac:dyDescent="0.45">
      <c r="A263" s="39" t="str">
        <f>IF(OR('Ground Schedule'!A56="",'Ground Schedule'!J56=""),"",'Ground Schedule'!A56)</f>
        <v/>
      </c>
      <c r="B263" s="29" t="str">
        <f>IF(A263="","",'Ground Schedule'!C56)</f>
        <v/>
      </c>
      <c r="C263" s="29" t="str">
        <f>IF(A263="","",'Ground Schedule'!J$4)</f>
        <v/>
      </c>
      <c r="D263" s="29" t="str">
        <f>IF(A263="","",'Ground Schedule'!J56)</f>
        <v/>
      </c>
      <c r="E263" s="29" t="str">
        <f t="shared" si="12"/>
        <v/>
      </c>
      <c r="F263" s="40"/>
      <c r="G263" s="29" t="str">
        <f t="shared" si="13"/>
        <v/>
      </c>
      <c r="H263" s="40"/>
      <c r="I263" s="29" t="str">
        <f t="shared" si="14"/>
        <v/>
      </c>
      <c r="J263" s="29"/>
    </row>
    <row r="264" spans="1:10" ht="22.05" customHeight="1" x14ac:dyDescent="0.45">
      <c r="A264" s="39" t="str">
        <f>IF(OR('Ground Schedule'!A57="",'Ground Schedule'!F57=""),"",'Ground Schedule'!A57)</f>
        <v/>
      </c>
      <c r="B264" s="29" t="str">
        <f>IF(A264="","",'Ground Schedule'!C57)</f>
        <v/>
      </c>
      <c r="C264" s="29" t="str">
        <f>IF(A264="","",'Ground Schedule'!F$4)</f>
        <v/>
      </c>
      <c r="D264" s="29" t="str">
        <f>IF(A264="","",'Ground Schedule'!F57)</f>
        <v/>
      </c>
      <c r="E264" s="29" t="str">
        <f t="shared" si="12"/>
        <v/>
      </c>
      <c r="F264" s="40"/>
      <c r="G264" s="29" t="str">
        <f t="shared" si="13"/>
        <v/>
      </c>
      <c r="H264" s="40"/>
      <c r="I264" s="29" t="str">
        <f t="shared" si="14"/>
        <v/>
      </c>
      <c r="J264" s="29"/>
    </row>
    <row r="265" spans="1:10" ht="22.05" customHeight="1" x14ac:dyDescent="0.45">
      <c r="A265" s="39" t="str">
        <f>IF(OR('Ground Schedule'!A57="",'Ground Schedule'!G57=""),"",'Ground Schedule'!A57)</f>
        <v/>
      </c>
      <c r="B265" s="29" t="str">
        <f>IF(A265="","",'Ground Schedule'!C57)</f>
        <v/>
      </c>
      <c r="C265" s="29" t="str">
        <f>IF(A265="","",'Ground Schedule'!G$4)</f>
        <v/>
      </c>
      <c r="D265" s="29" t="str">
        <f>IF(A265="","",'Ground Schedule'!G57)</f>
        <v/>
      </c>
      <c r="E265" s="29" t="str">
        <f t="shared" si="12"/>
        <v/>
      </c>
      <c r="F265" s="40"/>
      <c r="G265" s="29" t="str">
        <f t="shared" si="13"/>
        <v/>
      </c>
      <c r="H265" s="40"/>
      <c r="I265" s="29" t="str">
        <f t="shared" si="14"/>
        <v/>
      </c>
      <c r="J265" s="29"/>
    </row>
    <row r="266" spans="1:10" ht="22.05" customHeight="1" x14ac:dyDescent="0.45">
      <c r="A266" s="39" t="str">
        <f>IF(OR('Ground Schedule'!A57="",'Ground Schedule'!H57=""),"",'Ground Schedule'!A57)</f>
        <v/>
      </c>
      <c r="B266" s="29" t="str">
        <f>IF(A266="","",'Ground Schedule'!C57)</f>
        <v/>
      </c>
      <c r="C266" s="29" t="str">
        <f>IF(A266="","",'Ground Schedule'!H$4)</f>
        <v/>
      </c>
      <c r="D266" s="29" t="str">
        <f>IF(A266="","",'Ground Schedule'!H57)</f>
        <v/>
      </c>
      <c r="E266" s="29" t="str">
        <f t="shared" si="12"/>
        <v/>
      </c>
      <c r="F266" s="40"/>
      <c r="G266" s="29" t="str">
        <f t="shared" si="13"/>
        <v/>
      </c>
      <c r="H266" s="40"/>
      <c r="I266" s="29" t="str">
        <f t="shared" si="14"/>
        <v/>
      </c>
      <c r="J266" s="29"/>
    </row>
    <row r="267" spans="1:10" ht="22.05" customHeight="1" x14ac:dyDescent="0.45">
      <c r="A267" s="39" t="str">
        <f>IF(OR('Ground Schedule'!A57="",'Ground Schedule'!I57=""),"",'Ground Schedule'!A57)</f>
        <v/>
      </c>
      <c r="B267" s="29" t="str">
        <f>IF(A267="","",'Ground Schedule'!C57)</f>
        <v/>
      </c>
      <c r="C267" s="29" t="str">
        <f>IF(A267="","",'Ground Schedule'!I$4)</f>
        <v/>
      </c>
      <c r="D267" s="29" t="str">
        <f>IF(A267="","",'Ground Schedule'!I57)</f>
        <v/>
      </c>
      <c r="E267" s="29" t="str">
        <f t="shared" si="12"/>
        <v/>
      </c>
      <c r="F267" s="40"/>
      <c r="G267" s="29" t="str">
        <f t="shared" si="13"/>
        <v/>
      </c>
      <c r="H267" s="40"/>
      <c r="I267" s="29" t="str">
        <f t="shared" si="14"/>
        <v/>
      </c>
      <c r="J267" s="29"/>
    </row>
    <row r="268" spans="1:10" ht="22.05" customHeight="1" x14ac:dyDescent="0.45">
      <c r="A268" s="39" t="str">
        <f>IF(OR('Ground Schedule'!A57="",'Ground Schedule'!J57=""),"",'Ground Schedule'!A57)</f>
        <v/>
      </c>
      <c r="B268" s="29" t="str">
        <f>IF(A268="","",'Ground Schedule'!C57)</f>
        <v/>
      </c>
      <c r="C268" s="29" t="str">
        <f>IF(A268="","",'Ground Schedule'!J$4)</f>
        <v/>
      </c>
      <c r="D268" s="29" t="str">
        <f>IF(A268="","",'Ground Schedule'!J57)</f>
        <v/>
      </c>
      <c r="E268" s="29" t="str">
        <f t="shared" si="12"/>
        <v/>
      </c>
      <c r="F268" s="40"/>
      <c r="G268" s="29" t="str">
        <f t="shared" si="13"/>
        <v/>
      </c>
      <c r="H268" s="40"/>
      <c r="I268" s="29" t="str">
        <f t="shared" si="14"/>
        <v/>
      </c>
      <c r="J268" s="29"/>
    </row>
    <row r="269" spans="1:10" ht="22.05" customHeight="1" x14ac:dyDescent="0.45">
      <c r="A269" s="39" t="str">
        <f>IF(OR('Ground Schedule'!A58="",'Ground Schedule'!F58=""),"",'Ground Schedule'!A58)</f>
        <v/>
      </c>
      <c r="B269" s="29" t="str">
        <f>IF(A269="","",'Ground Schedule'!C58)</f>
        <v/>
      </c>
      <c r="C269" s="29" t="str">
        <f>IF(A269="","",'Ground Schedule'!F$4)</f>
        <v/>
      </c>
      <c r="D269" s="29" t="str">
        <f>IF(A269="","",'Ground Schedule'!F58)</f>
        <v/>
      </c>
      <c r="E269" s="29" t="str">
        <f t="shared" si="12"/>
        <v/>
      </c>
      <c r="F269" s="40"/>
      <c r="G269" s="29" t="str">
        <f t="shared" si="13"/>
        <v/>
      </c>
      <c r="H269" s="40"/>
      <c r="I269" s="29" t="str">
        <f t="shared" si="14"/>
        <v/>
      </c>
      <c r="J269" s="29"/>
    </row>
    <row r="270" spans="1:10" ht="22.05" customHeight="1" x14ac:dyDescent="0.45">
      <c r="A270" s="39" t="str">
        <f>IF(OR('Ground Schedule'!A58="",'Ground Schedule'!G58=""),"",'Ground Schedule'!A58)</f>
        <v/>
      </c>
      <c r="B270" s="29" t="str">
        <f>IF(A270="","",'Ground Schedule'!C58)</f>
        <v/>
      </c>
      <c r="C270" s="29" t="str">
        <f>IF(A270="","",'Ground Schedule'!G$4)</f>
        <v/>
      </c>
      <c r="D270" s="29" t="str">
        <f>IF(A270="","",'Ground Schedule'!G58)</f>
        <v/>
      </c>
      <c r="E270" s="29" t="str">
        <f t="shared" si="12"/>
        <v/>
      </c>
      <c r="F270" s="40"/>
      <c r="G270" s="29" t="str">
        <f t="shared" si="13"/>
        <v/>
      </c>
      <c r="H270" s="40"/>
      <c r="I270" s="29" t="str">
        <f t="shared" si="14"/>
        <v/>
      </c>
      <c r="J270" s="29"/>
    </row>
    <row r="271" spans="1:10" ht="22.05" customHeight="1" x14ac:dyDescent="0.45">
      <c r="A271" s="39" t="str">
        <f>IF(OR('Ground Schedule'!A58="",'Ground Schedule'!H58=""),"",'Ground Schedule'!A58)</f>
        <v/>
      </c>
      <c r="B271" s="29" t="str">
        <f>IF(A271="","",'Ground Schedule'!C58)</f>
        <v/>
      </c>
      <c r="C271" s="29" t="str">
        <f>IF(A271="","",'Ground Schedule'!H$4)</f>
        <v/>
      </c>
      <c r="D271" s="29" t="str">
        <f>IF(A271="","",'Ground Schedule'!H58)</f>
        <v/>
      </c>
      <c r="E271" s="29" t="str">
        <f t="shared" si="12"/>
        <v/>
      </c>
      <c r="F271" s="40"/>
      <c r="G271" s="29" t="str">
        <f t="shared" si="13"/>
        <v/>
      </c>
      <c r="H271" s="40"/>
      <c r="I271" s="29" t="str">
        <f t="shared" si="14"/>
        <v/>
      </c>
      <c r="J271" s="29"/>
    </row>
    <row r="272" spans="1:10" ht="22.05" customHeight="1" x14ac:dyDescent="0.45">
      <c r="A272" s="39" t="str">
        <f>IF(OR('Ground Schedule'!A58="",'Ground Schedule'!I58=""),"",'Ground Schedule'!A58)</f>
        <v/>
      </c>
      <c r="B272" s="29" t="str">
        <f>IF(A272="","",'Ground Schedule'!C58)</f>
        <v/>
      </c>
      <c r="C272" s="29" t="str">
        <f>IF(A272="","",'Ground Schedule'!I$4)</f>
        <v/>
      </c>
      <c r="D272" s="29" t="str">
        <f>IF(A272="","",'Ground Schedule'!I58)</f>
        <v/>
      </c>
      <c r="E272" s="29" t="str">
        <f t="shared" si="12"/>
        <v/>
      </c>
      <c r="F272" s="40"/>
      <c r="G272" s="29" t="str">
        <f t="shared" si="13"/>
        <v/>
      </c>
      <c r="H272" s="40"/>
      <c r="I272" s="29" t="str">
        <f t="shared" si="14"/>
        <v/>
      </c>
      <c r="J272" s="29"/>
    </row>
    <row r="273" spans="1:10" ht="22.05" customHeight="1" x14ac:dyDescent="0.45">
      <c r="A273" s="39" t="str">
        <f>IF(OR('Ground Schedule'!A58="",'Ground Schedule'!J58=""),"",'Ground Schedule'!A58)</f>
        <v/>
      </c>
      <c r="B273" s="29" t="str">
        <f>IF(A273="","",'Ground Schedule'!C58)</f>
        <v/>
      </c>
      <c r="C273" s="29" t="str">
        <f>IF(A273="","",'Ground Schedule'!J$4)</f>
        <v/>
      </c>
      <c r="D273" s="29" t="str">
        <f>IF(A273="","",'Ground Schedule'!J58)</f>
        <v/>
      </c>
      <c r="E273" s="29" t="str">
        <f t="shared" si="12"/>
        <v/>
      </c>
      <c r="F273" s="40"/>
      <c r="G273" s="29" t="str">
        <f t="shared" si="13"/>
        <v/>
      </c>
      <c r="H273" s="40"/>
      <c r="I273" s="29" t="str">
        <f t="shared" si="14"/>
        <v/>
      </c>
      <c r="J273" s="29"/>
    </row>
    <row r="274" spans="1:10" ht="22.05" customHeight="1" x14ac:dyDescent="0.45">
      <c r="A274" s="39" t="str">
        <f>IF(OR('Ground Schedule'!A59="",'Ground Schedule'!F59=""),"",'Ground Schedule'!A59)</f>
        <v/>
      </c>
      <c r="B274" s="29" t="str">
        <f>IF(A274="","",'Ground Schedule'!C59)</f>
        <v/>
      </c>
      <c r="C274" s="29" t="str">
        <f>IF(A274="","",'Ground Schedule'!F$4)</f>
        <v/>
      </c>
      <c r="D274" s="29" t="str">
        <f>IF(A274="","",'Ground Schedule'!F59)</f>
        <v/>
      </c>
      <c r="E274" s="29" t="str">
        <f t="shared" si="12"/>
        <v/>
      </c>
      <c r="F274" s="40"/>
      <c r="G274" s="29" t="str">
        <f t="shared" si="13"/>
        <v/>
      </c>
      <c r="H274" s="40"/>
      <c r="I274" s="29" t="str">
        <f t="shared" si="14"/>
        <v/>
      </c>
      <c r="J274" s="29"/>
    </row>
    <row r="275" spans="1:10" ht="22.05" customHeight="1" x14ac:dyDescent="0.45">
      <c r="A275" s="39" t="str">
        <f>IF(OR('Ground Schedule'!A59="",'Ground Schedule'!G59=""),"",'Ground Schedule'!A59)</f>
        <v/>
      </c>
      <c r="B275" s="29" t="str">
        <f>IF(A275="","",'Ground Schedule'!C59)</f>
        <v/>
      </c>
      <c r="C275" s="29" t="str">
        <f>IF(A275="","",'Ground Schedule'!G$4)</f>
        <v/>
      </c>
      <c r="D275" s="29" t="str">
        <f>IF(A275="","",'Ground Schedule'!G59)</f>
        <v/>
      </c>
      <c r="E275" s="29" t="str">
        <f t="shared" si="12"/>
        <v/>
      </c>
      <c r="F275" s="40"/>
      <c r="G275" s="29" t="str">
        <f t="shared" si="13"/>
        <v/>
      </c>
      <c r="H275" s="40"/>
      <c r="I275" s="29" t="str">
        <f t="shared" si="14"/>
        <v/>
      </c>
      <c r="J275" s="29"/>
    </row>
    <row r="276" spans="1:10" ht="22.05" customHeight="1" x14ac:dyDescent="0.45">
      <c r="A276" s="39" t="str">
        <f>IF(OR('Ground Schedule'!A59="",'Ground Schedule'!H59=""),"",'Ground Schedule'!A59)</f>
        <v/>
      </c>
      <c r="B276" s="29" t="str">
        <f>IF(A276="","",'Ground Schedule'!C59)</f>
        <v/>
      </c>
      <c r="C276" s="29" t="str">
        <f>IF(A276="","",'Ground Schedule'!H$4)</f>
        <v/>
      </c>
      <c r="D276" s="29" t="str">
        <f>IF(A276="","",'Ground Schedule'!H59)</f>
        <v/>
      </c>
      <c r="E276" s="29" t="str">
        <f t="shared" si="12"/>
        <v/>
      </c>
      <c r="F276" s="40"/>
      <c r="G276" s="29" t="str">
        <f t="shared" si="13"/>
        <v/>
      </c>
      <c r="H276" s="40"/>
      <c r="I276" s="29" t="str">
        <f t="shared" si="14"/>
        <v/>
      </c>
      <c r="J276" s="29"/>
    </row>
    <row r="277" spans="1:10" ht="22.05" customHeight="1" x14ac:dyDescent="0.45">
      <c r="A277" s="39" t="str">
        <f>IF(OR('Ground Schedule'!A59="",'Ground Schedule'!I59=""),"",'Ground Schedule'!A59)</f>
        <v/>
      </c>
      <c r="B277" s="29" t="str">
        <f>IF(A277="","",'Ground Schedule'!C59)</f>
        <v/>
      </c>
      <c r="C277" s="29" t="str">
        <f>IF(A277="","",'Ground Schedule'!I$4)</f>
        <v/>
      </c>
      <c r="D277" s="29" t="str">
        <f>IF(A277="","",'Ground Schedule'!I59)</f>
        <v/>
      </c>
      <c r="E277" s="29" t="str">
        <f t="shared" si="12"/>
        <v/>
      </c>
      <c r="F277" s="40"/>
      <c r="G277" s="29" t="str">
        <f t="shared" si="13"/>
        <v/>
      </c>
      <c r="H277" s="40"/>
      <c r="I277" s="29" t="str">
        <f t="shared" si="14"/>
        <v/>
      </c>
      <c r="J277" s="29"/>
    </row>
    <row r="278" spans="1:10" ht="22.05" customHeight="1" x14ac:dyDescent="0.45">
      <c r="A278" s="39" t="str">
        <f>IF(OR('Ground Schedule'!A59="",'Ground Schedule'!J59=""),"",'Ground Schedule'!A59)</f>
        <v/>
      </c>
      <c r="B278" s="29" t="str">
        <f>IF(A278="","",'Ground Schedule'!C59)</f>
        <v/>
      </c>
      <c r="C278" s="29" t="str">
        <f>IF(A278="","",'Ground Schedule'!J$4)</f>
        <v/>
      </c>
      <c r="D278" s="29" t="str">
        <f>IF(A278="","",'Ground Schedule'!J59)</f>
        <v/>
      </c>
      <c r="E278" s="29" t="str">
        <f t="shared" si="12"/>
        <v/>
      </c>
      <c r="F278" s="40"/>
      <c r="G278" s="29" t="str">
        <f t="shared" si="13"/>
        <v/>
      </c>
      <c r="H278" s="40"/>
      <c r="I278" s="29" t="str">
        <f t="shared" si="14"/>
        <v/>
      </c>
      <c r="J278" s="29"/>
    </row>
    <row r="279" spans="1:10" ht="22.05" customHeight="1" x14ac:dyDescent="0.45">
      <c r="A279" s="39" t="str">
        <f>IF(OR('Ground Schedule'!A60="",'Ground Schedule'!F60=""),"",'Ground Schedule'!A60)</f>
        <v/>
      </c>
      <c r="B279" s="29" t="str">
        <f>IF(A279="","",'Ground Schedule'!C60)</f>
        <v/>
      </c>
      <c r="C279" s="29" t="str">
        <f>IF(A279="","",'Ground Schedule'!F$4)</f>
        <v/>
      </c>
      <c r="D279" s="29" t="str">
        <f>IF(A279="","",'Ground Schedule'!F60)</f>
        <v/>
      </c>
      <c r="E279" s="29" t="str">
        <f t="shared" si="12"/>
        <v/>
      </c>
      <c r="F279" s="40"/>
      <c r="G279" s="29" t="str">
        <f t="shared" si="13"/>
        <v/>
      </c>
      <c r="H279" s="40"/>
      <c r="I279" s="29" t="str">
        <f t="shared" si="14"/>
        <v/>
      </c>
      <c r="J279" s="29"/>
    </row>
    <row r="280" spans="1:10" ht="22.05" customHeight="1" x14ac:dyDescent="0.45">
      <c r="A280" s="39" t="str">
        <f>IF(OR('Ground Schedule'!A60="",'Ground Schedule'!G60=""),"",'Ground Schedule'!A60)</f>
        <v/>
      </c>
      <c r="B280" s="29" t="str">
        <f>IF(A280="","",'Ground Schedule'!C60)</f>
        <v/>
      </c>
      <c r="C280" s="29" t="str">
        <f>IF(A280="","",'Ground Schedule'!G$4)</f>
        <v/>
      </c>
      <c r="D280" s="29" t="str">
        <f>IF(A280="","",'Ground Schedule'!G60)</f>
        <v/>
      </c>
      <c r="E280" s="29" t="str">
        <f t="shared" si="12"/>
        <v/>
      </c>
      <c r="F280" s="40"/>
      <c r="G280" s="29" t="str">
        <f t="shared" si="13"/>
        <v/>
      </c>
      <c r="H280" s="40"/>
      <c r="I280" s="29" t="str">
        <f t="shared" si="14"/>
        <v/>
      </c>
      <c r="J280" s="29"/>
    </row>
    <row r="281" spans="1:10" ht="22.05" customHeight="1" x14ac:dyDescent="0.45">
      <c r="A281" s="39" t="str">
        <f>IF(OR('Ground Schedule'!A60="",'Ground Schedule'!H60=""),"",'Ground Schedule'!A60)</f>
        <v/>
      </c>
      <c r="B281" s="29" t="str">
        <f>IF(A281="","",'Ground Schedule'!C60)</f>
        <v/>
      </c>
      <c r="C281" s="29" t="str">
        <f>IF(A281="","",'Ground Schedule'!H$4)</f>
        <v/>
      </c>
      <c r="D281" s="29" t="str">
        <f>IF(A281="","",'Ground Schedule'!H60)</f>
        <v/>
      </c>
      <c r="E281" s="29" t="str">
        <f t="shared" si="12"/>
        <v/>
      </c>
      <c r="F281" s="40"/>
      <c r="G281" s="29" t="str">
        <f t="shared" si="13"/>
        <v/>
      </c>
      <c r="H281" s="40"/>
      <c r="I281" s="29" t="str">
        <f t="shared" si="14"/>
        <v/>
      </c>
      <c r="J281" s="29"/>
    </row>
    <row r="282" spans="1:10" ht="22.05" customHeight="1" x14ac:dyDescent="0.45">
      <c r="A282" s="39" t="str">
        <f>IF(OR('Ground Schedule'!A60="",'Ground Schedule'!I60=""),"",'Ground Schedule'!A60)</f>
        <v/>
      </c>
      <c r="B282" s="29" t="str">
        <f>IF(A282="","",'Ground Schedule'!C60)</f>
        <v/>
      </c>
      <c r="C282" s="29" t="str">
        <f>IF(A282="","",'Ground Schedule'!I$4)</f>
        <v/>
      </c>
      <c r="D282" s="29" t="str">
        <f>IF(A282="","",'Ground Schedule'!I60)</f>
        <v/>
      </c>
      <c r="E282" s="29" t="str">
        <f t="shared" si="12"/>
        <v/>
      </c>
      <c r="F282" s="40"/>
      <c r="G282" s="29" t="str">
        <f t="shared" si="13"/>
        <v/>
      </c>
      <c r="H282" s="40"/>
      <c r="I282" s="29" t="str">
        <f t="shared" si="14"/>
        <v/>
      </c>
      <c r="J282" s="29"/>
    </row>
    <row r="283" spans="1:10" ht="22.05" customHeight="1" x14ac:dyDescent="0.45">
      <c r="A283" s="39" t="str">
        <f>IF(OR('Ground Schedule'!A60="",'Ground Schedule'!J60=""),"",'Ground Schedule'!A60)</f>
        <v/>
      </c>
      <c r="B283" s="29" t="str">
        <f>IF(A283="","",'Ground Schedule'!C60)</f>
        <v/>
      </c>
      <c r="C283" s="29" t="str">
        <f>IF(A283="","",'Ground Schedule'!J$4)</f>
        <v/>
      </c>
      <c r="D283" s="29" t="str">
        <f>IF(A283="","",'Ground Schedule'!J60)</f>
        <v/>
      </c>
      <c r="E283" s="29" t="str">
        <f t="shared" si="12"/>
        <v/>
      </c>
      <c r="F283" s="40"/>
      <c r="G283" s="29" t="str">
        <f t="shared" si="13"/>
        <v/>
      </c>
      <c r="H283" s="40"/>
      <c r="I283" s="29" t="str">
        <f t="shared" si="14"/>
        <v/>
      </c>
      <c r="J283" s="29"/>
    </row>
    <row r="284" spans="1:10" ht="22.05" customHeight="1" x14ac:dyDescent="0.45">
      <c r="A284" s="39" t="str">
        <f>IF(OR('Ground Schedule'!A61="",'Ground Schedule'!F61=""),"",'Ground Schedule'!A61)</f>
        <v/>
      </c>
      <c r="B284" s="29" t="str">
        <f>IF(A284="","",'Ground Schedule'!C61)</f>
        <v/>
      </c>
      <c r="C284" s="29" t="str">
        <f>IF(A284="","",'Ground Schedule'!F$4)</f>
        <v/>
      </c>
      <c r="D284" s="29" t="str">
        <f>IF(A284="","",'Ground Schedule'!F61)</f>
        <v/>
      </c>
      <c r="E284" s="29" t="str">
        <f t="shared" si="12"/>
        <v/>
      </c>
      <c r="F284" s="40"/>
      <c r="G284" s="29" t="str">
        <f t="shared" si="13"/>
        <v/>
      </c>
      <c r="H284" s="40"/>
      <c r="I284" s="29" t="str">
        <f t="shared" si="14"/>
        <v/>
      </c>
      <c r="J284" s="29"/>
    </row>
    <row r="285" spans="1:10" ht="22.05" customHeight="1" x14ac:dyDescent="0.45">
      <c r="A285" s="39" t="str">
        <f>IF(OR('Ground Schedule'!A61="",'Ground Schedule'!G61=""),"",'Ground Schedule'!A61)</f>
        <v/>
      </c>
      <c r="B285" s="29" t="str">
        <f>IF(A285="","",'Ground Schedule'!C61)</f>
        <v/>
      </c>
      <c r="C285" s="29" t="str">
        <f>IF(A285="","",'Ground Schedule'!G$4)</f>
        <v/>
      </c>
      <c r="D285" s="29" t="str">
        <f>IF(A285="","",'Ground Schedule'!G61)</f>
        <v/>
      </c>
      <c r="E285" s="29" t="str">
        <f t="shared" si="12"/>
        <v/>
      </c>
      <c r="F285" s="40"/>
      <c r="G285" s="29" t="str">
        <f t="shared" si="13"/>
        <v/>
      </c>
      <c r="H285" s="40"/>
      <c r="I285" s="29" t="str">
        <f t="shared" si="14"/>
        <v/>
      </c>
      <c r="J285" s="29"/>
    </row>
    <row r="286" spans="1:10" ht="22.05" customHeight="1" x14ac:dyDescent="0.45">
      <c r="A286" s="39" t="str">
        <f>IF(OR('Ground Schedule'!A61="",'Ground Schedule'!H61=""),"",'Ground Schedule'!A61)</f>
        <v/>
      </c>
      <c r="B286" s="29" t="str">
        <f>IF(A286="","",'Ground Schedule'!C61)</f>
        <v/>
      </c>
      <c r="C286" s="29" t="str">
        <f>IF(A286="","",'Ground Schedule'!H$4)</f>
        <v/>
      </c>
      <c r="D286" s="29" t="str">
        <f>IF(A286="","",'Ground Schedule'!H61)</f>
        <v/>
      </c>
      <c r="E286" s="29" t="str">
        <f t="shared" si="12"/>
        <v/>
      </c>
      <c r="F286" s="40"/>
      <c r="G286" s="29" t="str">
        <f t="shared" si="13"/>
        <v/>
      </c>
      <c r="H286" s="40"/>
      <c r="I286" s="29" t="str">
        <f t="shared" si="14"/>
        <v/>
      </c>
      <c r="J286" s="29"/>
    </row>
    <row r="287" spans="1:10" ht="22.05" customHeight="1" x14ac:dyDescent="0.45">
      <c r="A287" s="39" t="str">
        <f>IF(OR('Ground Schedule'!A61="",'Ground Schedule'!I61=""),"",'Ground Schedule'!A61)</f>
        <v/>
      </c>
      <c r="B287" s="29" t="str">
        <f>IF(A287="","",'Ground Schedule'!C61)</f>
        <v/>
      </c>
      <c r="C287" s="29" t="str">
        <f>IF(A287="","",'Ground Schedule'!I$4)</f>
        <v/>
      </c>
      <c r="D287" s="29" t="str">
        <f>IF(A287="","",'Ground Schedule'!I61)</f>
        <v/>
      </c>
      <c r="E287" s="29" t="str">
        <f t="shared" si="12"/>
        <v/>
      </c>
      <c r="F287" s="40"/>
      <c r="G287" s="29" t="str">
        <f t="shared" si="13"/>
        <v/>
      </c>
      <c r="H287" s="40"/>
      <c r="I287" s="29" t="str">
        <f t="shared" si="14"/>
        <v/>
      </c>
      <c r="J287" s="29"/>
    </row>
    <row r="288" spans="1:10" ht="22.05" customHeight="1" x14ac:dyDescent="0.45">
      <c r="A288" s="39" t="str">
        <f>IF(OR('Ground Schedule'!A61="",'Ground Schedule'!J61=""),"",'Ground Schedule'!A61)</f>
        <v/>
      </c>
      <c r="B288" s="29" t="str">
        <f>IF(A288="","",'Ground Schedule'!C61)</f>
        <v/>
      </c>
      <c r="C288" s="29" t="str">
        <f>IF(A288="","",'Ground Schedule'!J$4)</f>
        <v/>
      </c>
      <c r="D288" s="29" t="str">
        <f>IF(A288="","",'Ground Schedule'!J61)</f>
        <v/>
      </c>
      <c r="E288" s="29" t="str">
        <f t="shared" si="12"/>
        <v/>
      </c>
      <c r="F288" s="40"/>
      <c r="G288" s="29" t="str">
        <f t="shared" si="13"/>
        <v/>
      </c>
      <c r="H288" s="40"/>
      <c r="I288" s="29" t="str">
        <f t="shared" si="14"/>
        <v/>
      </c>
      <c r="J288" s="29"/>
    </row>
    <row r="289" spans="1:10" ht="22.05" customHeight="1" x14ac:dyDescent="0.45">
      <c r="A289" s="39" t="str">
        <f>IF(OR('Ground Schedule'!A62="",'Ground Schedule'!F62=""),"",'Ground Schedule'!A62)</f>
        <v/>
      </c>
      <c r="B289" s="29" t="str">
        <f>IF(A289="","",'Ground Schedule'!C62)</f>
        <v/>
      </c>
      <c r="C289" s="29" t="str">
        <f>IF(A289="","",'Ground Schedule'!F$4)</f>
        <v/>
      </c>
      <c r="D289" s="29" t="str">
        <f>IF(A289="","",'Ground Schedule'!F62)</f>
        <v/>
      </c>
      <c r="E289" s="29" t="str">
        <f t="shared" si="12"/>
        <v/>
      </c>
      <c r="F289" s="40"/>
      <c r="G289" s="29" t="str">
        <f t="shared" si="13"/>
        <v/>
      </c>
      <c r="H289" s="40"/>
      <c r="I289" s="29" t="str">
        <f t="shared" si="14"/>
        <v/>
      </c>
      <c r="J289" s="29"/>
    </row>
    <row r="290" spans="1:10" ht="22.05" customHeight="1" x14ac:dyDescent="0.45">
      <c r="A290" s="39" t="str">
        <f>IF(OR('Ground Schedule'!A62="",'Ground Schedule'!G62=""),"",'Ground Schedule'!A62)</f>
        <v/>
      </c>
      <c r="B290" s="29" t="str">
        <f>IF(A290="","",'Ground Schedule'!C62)</f>
        <v/>
      </c>
      <c r="C290" s="29" t="str">
        <f>IF(A290="","",'Ground Schedule'!G$4)</f>
        <v/>
      </c>
      <c r="D290" s="29" t="str">
        <f>IF(A290="","",'Ground Schedule'!G62)</f>
        <v/>
      </c>
      <c r="E290" s="29" t="str">
        <f t="shared" si="12"/>
        <v/>
      </c>
      <c r="F290" s="40"/>
      <c r="G290" s="29" t="str">
        <f t="shared" si="13"/>
        <v/>
      </c>
      <c r="H290" s="40"/>
      <c r="I290" s="29" t="str">
        <f t="shared" si="14"/>
        <v/>
      </c>
      <c r="J290" s="29"/>
    </row>
    <row r="291" spans="1:10" ht="22.05" customHeight="1" x14ac:dyDescent="0.45">
      <c r="A291" s="39" t="str">
        <f>IF(OR('Ground Schedule'!A62="",'Ground Schedule'!H62=""),"",'Ground Schedule'!A62)</f>
        <v/>
      </c>
      <c r="B291" s="29" t="str">
        <f>IF(A291="","",'Ground Schedule'!C62)</f>
        <v/>
      </c>
      <c r="C291" s="29" t="str">
        <f>IF(A291="","",'Ground Schedule'!H$4)</f>
        <v/>
      </c>
      <c r="D291" s="29" t="str">
        <f>IF(A291="","",'Ground Schedule'!H62)</f>
        <v/>
      </c>
      <c r="E291" s="29" t="str">
        <f t="shared" si="12"/>
        <v/>
      </c>
      <c r="F291" s="40"/>
      <c r="G291" s="29" t="str">
        <f t="shared" si="13"/>
        <v/>
      </c>
      <c r="H291" s="40"/>
      <c r="I291" s="29" t="str">
        <f t="shared" si="14"/>
        <v/>
      </c>
      <c r="J291" s="29"/>
    </row>
    <row r="292" spans="1:10" ht="22.05" customHeight="1" x14ac:dyDescent="0.45">
      <c r="A292" s="39" t="str">
        <f>IF(OR('Ground Schedule'!A62="",'Ground Schedule'!I62=""),"",'Ground Schedule'!A62)</f>
        <v/>
      </c>
      <c r="B292" s="29" t="str">
        <f>IF(A292="","",'Ground Schedule'!C62)</f>
        <v/>
      </c>
      <c r="C292" s="29" t="str">
        <f>IF(A292="","",'Ground Schedule'!I$4)</f>
        <v/>
      </c>
      <c r="D292" s="29" t="str">
        <f>IF(A292="","",'Ground Schedule'!I62)</f>
        <v/>
      </c>
      <c r="E292" s="29" t="str">
        <f t="shared" si="12"/>
        <v/>
      </c>
      <c r="F292" s="40"/>
      <c r="G292" s="29" t="str">
        <f t="shared" si="13"/>
        <v/>
      </c>
      <c r="H292" s="40"/>
      <c r="I292" s="29" t="str">
        <f t="shared" si="14"/>
        <v/>
      </c>
      <c r="J292" s="29"/>
    </row>
    <row r="293" spans="1:10" ht="22.05" customHeight="1" x14ac:dyDescent="0.45">
      <c r="A293" s="39" t="str">
        <f>IF(OR('Ground Schedule'!A62="",'Ground Schedule'!J62=""),"",'Ground Schedule'!A62)</f>
        <v/>
      </c>
      <c r="B293" s="29" t="str">
        <f>IF(A293="","",'Ground Schedule'!C62)</f>
        <v/>
      </c>
      <c r="C293" s="29" t="str">
        <f>IF(A293="","",'Ground Schedule'!J$4)</f>
        <v/>
      </c>
      <c r="D293" s="29" t="str">
        <f>IF(A293="","",'Ground Schedule'!J62)</f>
        <v/>
      </c>
      <c r="E293" s="29" t="str">
        <f t="shared" si="12"/>
        <v/>
      </c>
      <c r="F293" s="40"/>
      <c r="G293" s="29" t="str">
        <f t="shared" si="13"/>
        <v/>
      </c>
      <c r="H293" s="40"/>
      <c r="I293" s="29" t="str">
        <f t="shared" si="14"/>
        <v/>
      </c>
      <c r="J293" s="29"/>
    </row>
    <row r="294" spans="1:10" ht="22.05" customHeight="1" x14ac:dyDescent="0.45">
      <c r="A294" s="39" t="str">
        <f>IF(OR('Ground Schedule'!A63="",'Ground Schedule'!F63=""),"",'Ground Schedule'!A63)</f>
        <v/>
      </c>
      <c r="B294" s="29" t="str">
        <f>IF(A294="","",'Ground Schedule'!C63)</f>
        <v/>
      </c>
      <c r="C294" s="29" t="str">
        <f>IF(A294="","",'Ground Schedule'!F$4)</f>
        <v/>
      </c>
      <c r="D294" s="29" t="str">
        <f>IF(A294="","",'Ground Schedule'!F63)</f>
        <v/>
      </c>
      <c r="E294" s="29" t="str">
        <f t="shared" si="12"/>
        <v/>
      </c>
      <c r="F294" s="40"/>
      <c r="G294" s="29" t="str">
        <f t="shared" si="13"/>
        <v/>
      </c>
      <c r="H294" s="40"/>
      <c r="I294" s="29" t="str">
        <f t="shared" si="14"/>
        <v/>
      </c>
      <c r="J294" s="29"/>
    </row>
    <row r="295" spans="1:10" ht="22.05" customHeight="1" x14ac:dyDescent="0.45">
      <c r="A295" s="39" t="str">
        <f>IF(OR('Ground Schedule'!A63="",'Ground Schedule'!G63=""),"",'Ground Schedule'!A63)</f>
        <v/>
      </c>
      <c r="B295" s="29" t="str">
        <f>IF(A295="","",'Ground Schedule'!C63)</f>
        <v/>
      </c>
      <c r="C295" s="29" t="str">
        <f>IF(A295="","",'Ground Schedule'!G$4)</f>
        <v/>
      </c>
      <c r="D295" s="29" t="str">
        <f>IF(A295="","",'Ground Schedule'!G63)</f>
        <v/>
      </c>
      <c r="E295" s="29" t="str">
        <f t="shared" si="12"/>
        <v/>
      </c>
      <c r="F295" s="40"/>
      <c r="G295" s="29" t="str">
        <f t="shared" si="13"/>
        <v/>
      </c>
      <c r="H295" s="40"/>
      <c r="I295" s="29" t="str">
        <f t="shared" si="14"/>
        <v/>
      </c>
      <c r="J295" s="29"/>
    </row>
    <row r="296" spans="1:10" ht="22.05" customHeight="1" x14ac:dyDescent="0.45">
      <c r="A296" s="39" t="str">
        <f>IF(OR('Ground Schedule'!A63="",'Ground Schedule'!H63=""),"",'Ground Schedule'!A63)</f>
        <v/>
      </c>
      <c r="B296" s="29" t="str">
        <f>IF(A296="","",'Ground Schedule'!C63)</f>
        <v/>
      </c>
      <c r="C296" s="29" t="str">
        <f>IF(A296="","",'Ground Schedule'!H$4)</f>
        <v/>
      </c>
      <c r="D296" s="29" t="str">
        <f>IF(A296="","",'Ground Schedule'!H63)</f>
        <v/>
      </c>
      <c r="E296" s="29" t="str">
        <f t="shared" si="12"/>
        <v/>
      </c>
      <c r="F296" s="40"/>
      <c r="G296" s="29" t="str">
        <f t="shared" si="13"/>
        <v/>
      </c>
      <c r="H296" s="40"/>
      <c r="I296" s="29" t="str">
        <f t="shared" si="14"/>
        <v/>
      </c>
      <c r="J296" s="29"/>
    </row>
    <row r="297" spans="1:10" ht="22.05" customHeight="1" x14ac:dyDescent="0.45">
      <c r="A297" s="39" t="str">
        <f>IF(OR('Ground Schedule'!A63="",'Ground Schedule'!I63=""),"",'Ground Schedule'!A63)</f>
        <v/>
      </c>
      <c r="B297" s="29" t="str">
        <f>IF(A297="","",'Ground Schedule'!C63)</f>
        <v/>
      </c>
      <c r="C297" s="29" t="str">
        <f>IF(A297="","",'Ground Schedule'!I$4)</f>
        <v/>
      </c>
      <c r="D297" s="29" t="str">
        <f>IF(A297="","",'Ground Schedule'!I63)</f>
        <v/>
      </c>
      <c r="E297" s="29" t="str">
        <f t="shared" si="12"/>
        <v/>
      </c>
      <c r="F297" s="40"/>
      <c r="G297" s="29" t="str">
        <f t="shared" si="13"/>
        <v/>
      </c>
      <c r="H297" s="40"/>
      <c r="I297" s="29" t="str">
        <f t="shared" si="14"/>
        <v/>
      </c>
      <c r="J297" s="29"/>
    </row>
    <row r="298" spans="1:10" ht="22.05" customHeight="1" x14ac:dyDescent="0.45">
      <c r="A298" s="39" t="str">
        <f>IF(OR('Ground Schedule'!A63="",'Ground Schedule'!J63=""),"",'Ground Schedule'!A63)</f>
        <v/>
      </c>
      <c r="B298" s="29" t="str">
        <f>IF(A298="","",'Ground Schedule'!C63)</f>
        <v/>
      </c>
      <c r="C298" s="29" t="str">
        <f>IF(A298="","",'Ground Schedule'!J$4)</f>
        <v/>
      </c>
      <c r="D298" s="29" t="str">
        <f>IF(A298="","",'Ground Schedule'!J63)</f>
        <v/>
      </c>
      <c r="E298" s="29" t="str">
        <f t="shared" si="12"/>
        <v/>
      </c>
      <c r="F298" s="40"/>
      <c r="G298" s="29" t="str">
        <f t="shared" si="13"/>
        <v/>
      </c>
      <c r="H298" s="40"/>
      <c r="I298" s="29" t="str">
        <f t="shared" si="14"/>
        <v/>
      </c>
      <c r="J298" s="29"/>
    </row>
    <row r="299" spans="1:10" ht="22.05" customHeight="1" x14ac:dyDescent="0.45">
      <c r="A299" s="39" t="str">
        <f>IF(OR('Ground Schedule'!A64="",'Ground Schedule'!F64=""),"",'Ground Schedule'!A64)</f>
        <v/>
      </c>
      <c r="B299" s="29" t="str">
        <f>IF(A299="","",'Ground Schedule'!C64)</f>
        <v/>
      </c>
      <c r="C299" s="29" t="str">
        <f>IF(A299="","",'Ground Schedule'!F$4)</f>
        <v/>
      </c>
      <c r="D299" s="29" t="str">
        <f>IF(A299="","",'Ground Schedule'!F64)</f>
        <v/>
      </c>
      <c r="E299" s="29" t="str">
        <f t="shared" si="12"/>
        <v/>
      </c>
      <c r="F299" s="40"/>
      <c r="G299" s="29" t="str">
        <f t="shared" si="13"/>
        <v/>
      </c>
      <c r="H299" s="40"/>
      <c r="I299" s="29" t="str">
        <f t="shared" si="14"/>
        <v/>
      </c>
      <c r="J299" s="29"/>
    </row>
    <row r="300" spans="1:10" ht="22.05" customHeight="1" x14ac:dyDescent="0.45">
      <c r="A300" s="39" t="str">
        <f>IF(OR('Ground Schedule'!A64="",'Ground Schedule'!G64=""),"",'Ground Schedule'!A64)</f>
        <v/>
      </c>
      <c r="B300" s="29" t="str">
        <f>IF(A300="","",'Ground Schedule'!C64)</f>
        <v/>
      </c>
      <c r="C300" s="29" t="str">
        <f>IF(A300="","",'Ground Schedule'!G$4)</f>
        <v/>
      </c>
      <c r="D300" s="29" t="str">
        <f>IF(A300="","",'Ground Schedule'!G64)</f>
        <v/>
      </c>
      <c r="E300" s="29" t="str">
        <f t="shared" si="12"/>
        <v/>
      </c>
      <c r="F300" s="40"/>
      <c r="G300" s="29" t="str">
        <f t="shared" si="13"/>
        <v/>
      </c>
      <c r="H300" s="40"/>
      <c r="I300" s="29" t="str">
        <f t="shared" si="14"/>
        <v/>
      </c>
      <c r="J300" s="29"/>
    </row>
    <row r="301" spans="1:10" ht="22.05" customHeight="1" x14ac:dyDescent="0.45">
      <c r="A301" s="39" t="str">
        <f>IF(OR('Ground Schedule'!A64="",'Ground Schedule'!H64=""),"",'Ground Schedule'!A64)</f>
        <v/>
      </c>
      <c r="B301" s="29" t="str">
        <f>IF(A301="","",'Ground Schedule'!C64)</f>
        <v/>
      </c>
      <c r="C301" s="29" t="str">
        <f>IF(A301="","",'Ground Schedule'!H$4)</f>
        <v/>
      </c>
      <c r="D301" s="29" t="str">
        <f>IF(A301="","",'Ground Schedule'!H64)</f>
        <v/>
      </c>
      <c r="E301" s="29" t="str">
        <f t="shared" si="12"/>
        <v/>
      </c>
      <c r="F301" s="40"/>
      <c r="G301" s="29" t="str">
        <f t="shared" si="13"/>
        <v/>
      </c>
      <c r="H301" s="40"/>
      <c r="I301" s="29" t="str">
        <f t="shared" si="14"/>
        <v/>
      </c>
      <c r="J301" s="29"/>
    </row>
    <row r="302" spans="1:10" ht="22.05" customHeight="1" x14ac:dyDescent="0.45">
      <c r="A302" s="39" t="str">
        <f>IF(OR('Ground Schedule'!A64="",'Ground Schedule'!I64=""),"",'Ground Schedule'!A64)</f>
        <v/>
      </c>
      <c r="B302" s="29" t="str">
        <f>IF(A302="","",'Ground Schedule'!C64)</f>
        <v/>
      </c>
      <c r="C302" s="29" t="str">
        <f>IF(A302="","",'Ground Schedule'!I$4)</f>
        <v/>
      </c>
      <c r="D302" s="29" t="str">
        <f>IF(A302="","",'Ground Schedule'!I64)</f>
        <v/>
      </c>
      <c r="E302" s="29" t="str">
        <f t="shared" si="12"/>
        <v/>
      </c>
      <c r="F302" s="40"/>
      <c r="G302" s="29" t="str">
        <f t="shared" si="13"/>
        <v/>
      </c>
      <c r="H302" s="40"/>
      <c r="I302" s="29" t="str">
        <f t="shared" si="14"/>
        <v/>
      </c>
      <c r="J302" s="29"/>
    </row>
    <row r="303" spans="1:10" ht="22.05" customHeight="1" x14ac:dyDescent="0.45">
      <c r="A303" s="39" t="str">
        <f>IF(OR('Ground Schedule'!A64="",'Ground Schedule'!J64=""),"",'Ground Schedule'!A64)</f>
        <v/>
      </c>
      <c r="B303" s="29" t="str">
        <f>IF(A303="","",'Ground Schedule'!C64)</f>
        <v/>
      </c>
      <c r="C303" s="29" t="str">
        <f>IF(A303="","",'Ground Schedule'!J$4)</f>
        <v/>
      </c>
      <c r="D303" s="29" t="str">
        <f>IF(A303="","",'Ground Schedule'!J64)</f>
        <v/>
      </c>
      <c r="E303" s="29" t="str">
        <f t="shared" si="12"/>
        <v/>
      </c>
      <c r="F303" s="40"/>
      <c r="G303" s="29" t="str">
        <f t="shared" si="13"/>
        <v/>
      </c>
      <c r="H303" s="40"/>
      <c r="I303" s="29" t="str">
        <f t="shared" si="14"/>
        <v/>
      </c>
      <c r="J303" s="29"/>
    </row>
    <row r="304" spans="1:10" ht="22.05" customHeight="1" x14ac:dyDescent="0.45">
      <c r="A304" s="39" t="str">
        <f>IF(OR('Ground Schedule'!A65="",'Ground Schedule'!F65=""),"",'Ground Schedule'!A65)</f>
        <v/>
      </c>
      <c r="B304" s="29" t="str">
        <f>IF(A304="","",'Ground Schedule'!C65)</f>
        <v/>
      </c>
      <c r="C304" s="29" t="str">
        <f>IF(A304="","",'Ground Schedule'!F$4)</f>
        <v/>
      </c>
      <c r="D304" s="29" t="str">
        <f>IF(A304="","",'Ground Schedule'!F65)</f>
        <v/>
      </c>
      <c r="E304" s="29" t="str">
        <f t="shared" si="12"/>
        <v/>
      </c>
      <c r="F304" s="40"/>
      <c r="G304" s="29" t="str">
        <f t="shared" si="13"/>
        <v/>
      </c>
      <c r="H304" s="40"/>
      <c r="I304" s="29" t="str">
        <f t="shared" si="14"/>
        <v/>
      </c>
      <c r="J304" s="29"/>
    </row>
    <row r="305" spans="1:10" ht="22.05" customHeight="1" x14ac:dyDescent="0.45">
      <c r="A305" s="39" t="str">
        <f>IF(OR('Ground Schedule'!A65="",'Ground Schedule'!G65=""),"",'Ground Schedule'!A65)</f>
        <v/>
      </c>
      <c r="B305" s="29" t="str">
        <f>IF(A305="","",'Ground Schedule'!C65)</f>
        <v/>
      </c>
      <c r="C305" s="29" t="str">
        <f>IF(A305="","",'Ground Schedule'!G$4)</f>
        <v/>
      </c>
      <c r="D305" s="29" t="str">
        <f>IF(A305="","",'Ground Schedule'!G65)</f>
        <v/>
      </c>
      <c r="E305" s="29" t="str">
        <f t="shared" si="12"/>
        <v/>
      </c>
      <c r="F305" s="40"/>
      <c r="G305" s="29" t="str">
        <f t="shared" si="13"/>
        <v/>
      </c>
      <c r="H305" s="40"/>
      <c r="I305" s="29" t="str">
        <f t="shared" si="14"/>
        <v/>
      </c>
      <c r="J305" s="29"/>
    </row>
    <row r="306" spans="1:10" ht="22.05" customHeight="1" x14ac:dyDescent="0.45">
      <c r="A306" s="39" t="str">
        <f>IF(OR('Ground Schedule'!A65="",'Ground Schedule'!H65=""),"",'Ground Schedule'!A65)</f>
        <v/>
      </c>
      <c r="B306" s="29" t="str">
        <f>IF(A306="","",'Ground Schedule'!C65)</f>
        <v/>
      </c>
      <c r="C306" s="29" t="str">
        <f>IF(A306="","",'Ground Schedule'!H$4)</f>
        <v/>
      </c>
      <c r="D306" s="29" t="str">
        <f>IF(A306="","",'Ground Schedule'!H65)</f>
        <v/>
      </c>
      <c r="E306" s="29" t="str">
        <f t="shared" si="12"/>
        <v/>
      </c>
      <c r="F306" s="40"/>
      <c r="G306" s="29" t="str">
        <f t="shared" si="13"/>
        <v/>
      </c>
      <c r="H306" s="40"/>
      <c r="I306" s="29" t="str">
        <f t="shared" si="14"/>
        <v/>
      </c>
      <c r="J306" s="29"/>
    </row>
    <row r="307" spans="1:10" ht="22.05" customHeight="1" x14ac:dyDescent="0.45">
      <c r="A307" s="39" t="str">
        <f>IF(OR('Ground Schedule'!A65="",'Ground Schedule'!I65=""),"",'Ground Schedule'!A65)</f>
        <v/>
      </c>
      <c r="B307" s="29" t="str">
        <f>IF(A307="","",'Ground Schedule'!C65)</f>
        <v/>
      </c>
      <c r="C307" s="29" t="str">
        <f>IF(A307="","",'Ground Schedule'!I$4)</f>
        <v/>
      </c>
      <c r="D307" s="29" t="str">
        <f>IF(A307="","",'Ground Schedule'!I65)</f>
        <v/>
      </c>
      <c r="E307" s="29" t="str">
        <f t="shared" si="12"/>
        <v/>
      </c>
      <c r="F307" s="40"/>
      <c r="G307" s="29" t="str">
        <f t="shared" si="13"/>
        <v/>
      </c>
      <c r="H307" s="40"/>
      <c r="I307" s="29" t="str">
        <f t="shared" si="14"/>
        <v/>
      </c>
      <c r="J307" s="29"/>
    </row>
    <row r="308" spans="1:10" ht="22.05" customHeight="1" x14ac:dyDescent="0.45">
      <c r="A308" s="39" t="str">
        <f>IF(OR('Ground Schedule'!A65="",'Ground Schedule'!J65=""),"",'Ground Schedule'!A65)</f>
        <v/>
      </c>
      <c r="B308" s="29" t="str">
        <f>IF(A308="","",'Ground Schedule'!C65)</f>
        <v/>
      </c>
      <c r="C308" s="29" t="str">
        <f>IF(A308="","",'Ground Schedule'!J$4)</f>
        <v/>
      </c>
      <c r="D308" s="29" t="str">
        <f>IF(A308="","",'Ground Schedule'!J65)</f>
        <v/>
      </c>
      <c r="E308" s="29" t="str">
        <f t="shared" si="12"/>
        <v/>
      </c>
      <c r="F308" s="40"/>
      <c r="G308" s="29" t="str">
        <f t="shared" si="13"/>
        <v/>
      </c>
      <c r="H308" s="40"/>
      <c r="I308" s="29" t="str">
        <f t="shared" si="14"/>
        <v/>
      </c>
      <c r="J308" s="29"/>
    </row>
    <row r="309" spans="1:10" ht="22.05" customHeight="1" x14ac:dyDescent="0.45">
      <c r="A309" s="39" t="str">
        <f>IF(OR('Ground Schedule'!A66="",'Ground Schedule'!F66=""),"",'Ground Schedule'!A66)</f>
        <v/>
      </c>
      <c r="B309" s="29" t="str">
        <f>IF(A309="","",'Ground Schedule'!C66)</f>
        <v/>
      </c>
      <c r="C309" s="29" t="str">
        <f>IF(A309="","",'Ground Schedule'!F$4)</f>
        <v/>
      </c>
      <c r="D309" s="29" t="str">
        <f>IF(A309="","",'Ground Schedule'!F66)</f>
        <v/>
      </c>
      <c r="E309" s="29" t="str">
        <f t="shared" si="12"/>
        <v/>
      </c>
      <c r="F309" s="40"/>
      <c r="G309" s="29" t="str">
        <f t="shared" si="13"/>
        <v/>
      </c>
      <c r="H309" s="40"/>
      <c r="I309" s="29" t="str">
        <f t="shared" si="14"/>
        <v/>
      </c>
      <c r="J309" s="29"/>
    </row>
    <row r="310" spans="1:10" ht="22.05" customHeight="1" x14ac:dyDescent="0.45">
      <c r="A310" s="39" t="str">
        <f>IF(OR('Ground Schedule'!A66="",'Ground Schedule'!G66=""),"",'Ground Schedule'!A66)</f>
        <v/>
      </c>
      <c r="B310" s="29" t="str">
        <f>IF(A310="","",'Ground Schedule'!C66)</f>
        <v/>
      </c>
      <c r="C310" s="29" t="str">
        <f>IF(A310="","",'Ground Schedule'!G$4)</f>
        <v/>
      </c>
      <c r="D310" s="29" t="str">
        <f>IF(A310="","",'Ground Schedule'!G66)</f>
        <v/>
      </c>
      <c r="E310" s="29" t="str">
        <f t="shared" si="12"/>
        <v/>
      </c>
      <c r="F310" s="40"/>
      <c r="G310" s="29" t="str">
        <f t="shared" si="13"/>
        <v/>
      </c>
      <c r="H310" s="40"/>
      <c r="I310" s="29" t="str">
        <f t="shared" si="14"/>
        <v/>
      </c>
      <c r="J310" s="29"/>
    </row>
    <row r="311" spans="1:10" ht="22.05" customHeight="1" x14ac:dyDescent="0.45">
      <c r="A311" s="39" t="str">
        <f>IF(OR('Ground Schedule'!A66="",'Ground Schedule'!H66=""),"",'Ground Schedule'!A66)</f>
        <v/>
      </c>
      <c r="B311" s="29" t="str">
        <f>IF(A311="","",'Ground Schedule'!C66)</f>
        <v/>
      </c>
      <c r="C311" s="29" t="str">
        <f>IF(A311="","",'Ground Schedule'!H$4)</f>
        <v/>
      </c>
      <c r="D311" s="29" t="str">
        <f>IF(A311="","",'Ground Schedule'!H66)</f>
        <v/>
      </c>
      <c r="E311" s="29" t="str">
        <f t="shared" si="12"/>
        <v/>
      </c>
      <c r="F311" s="40"/>
      <c r="G311" s="29" t="str">
        <f t="shared" si="13"/>
        <v/>
      </c>
      <c r="H311" s="40"/>
      <c r="I311" s="29" t="str">
        <f t="shared" si="14"/>
        <v/>
      </c>
      <c r="J311" s="29"/>
    </row>
    <row r="312" spans="1:10" ht="22.05" customHeight="1" x14ac:dyDescent="0.45">
      <c r="A312" s="39" t="str">
        <f>IF(OR('Ground Schedule'!A66="",'Ground Schedule'!I66=""),"",'Ground Schedule'!A66)</f>
        <v/>
      </c>
      <c r="B312" s="29" t="str">
        <f>IF(A312="","",'Ground Schedule'!C66)</f>
        <v/>
      </c>
      <c r="C312" s="29" t="str">
        <f>IF(A312="","",'Ground Schedule'!I$4)</f>
        <v/>
      </c>
      <c r="D312" s="29" t="str">
        <f>IF(A312="","",'Ground Schedule'!I66)</f>
        <v/>
      </c>
      <c r="E312" s="29" t="str">
        <f t="shared" si="12"/>
        <v/>
      </c>
      <c r="F312" s="40"/>
      <c r="G312" s="29" t="str">
        <f t="shared" si="13"/>
        <v/>
      </c>
      <c r="H312" s="40"/>
      <c r="I312" s="29" t="str">
        <f t="shared" si="14"/>
        <v/>
      </c>
      <c r="J312" s="29"/>
    </row>
    <row r="313" spans="1:10" ht="22.05" customHeight="1" x14ac:dyDescent="0.45">
      <c r="A313" s="39" t="str">
        <f>IF(OR('Ground Schedule'!A66="",'Ground Schedule'!J66=""),"",'Ground Schedule'!A66)</f>
        <v/>
      </c>
      <c r="B313" s="29" t="str">
        <f>IF(A313="","",'Ground Schedule'!C66)</f>
        <v/>
      </c>
      <c r="C313" s="29" t="str">
        <f>IF(A313="","",'Ground Schedule'!J$4)</f>
        <v/>
      </c>
      <c r="D313" s="29" t="str">
        <f>IF(A313="","",'Ground Schedule'!J66)</f>
        <v/>
      </c>
      <c r="E313" s="29" t="str">
        <f t="shared" si="12"/>
        <v/>
      </c>
      <c r="F313" s="40"/>
      <c r="G313" s="29" t="str">
        <f t="shared" si="13"/>
        <v/>
      </c>
      <c r="H313" s="40"/>
      <c r="I313" s="29" t="str">
        <f t="shared" si="14"/>
        <v/>
      </c>
      <c r="J313" s="29"/>
    </row>
    <row r="314" spans="1:10" ht="22.05" customHeight="1" x14ac:dyDescent="0.45">
      <c r="A314" s="39" t="str">
        <f>IF(OR('Ground Schedule'!A67="",'Ground Schedule'!F67=""),"",'Ground Schedule'!A67)</f>
        <v/>
      </c>
      <c r="B314" s="29" t="str">
        <f>IF(A314="","",'Ground Schedule'!C67)</f>
        <v/>
      </c>
      <c r="C314" s="29" t="str">
        <f>IF(A314="","",'Ground Schedule'!F$4)</f>
        <v/>
      </c>
      <c r="D314" s="29" t="str">
        <f>IF(A314="","",'Ground Schedule'!F67)</f>
        <v/>
      </c>
      <c r="E314" s="29" t="str">
        <f t="shared" si="12"/>
        <v/>
      </c>
      <c r="F314" s="40"/>
      <c r="G314" s="29" t="str">
        <f t="shared" si="13"/>
        <v/>
      </c>
      <c r="H314" s="40"/>
      <c r="I314" s="29" t="str">
        <f t="shared" si="14"/>
        <v/>
      </c>
      <c r="J314" s="29"/>
    </row>
    <row r="315" spans="1:10" ht="22.05" customHeight="1" x14ac:dyDescent="0.45">
      <c r="A315" s="39" t="str">
        <f>IF(OR('Ground Schedule'!A67="",'Ground Schedule'!G67=""),"",'Ground Schedule'!A67)</f>
        <v/>
      </c>
      <c r="B315" s="29" t="str">
        <f>IF(A315="","",'Ground Schedule'!C67)</f>
        <v/>
      </c>
      <c r="C315" s="29" t="str">
        <f>IF(A315="","",'Ground Schedule'!G$4)</f>
        <v/>
      </c>
      <c r="D315" s="29" t="str">
        <f>IF(A315="","",'Ground Schedule'!G67)</f>
        <v/>
      </c>
      <c r="E315" s="29" t="str">
        <f t="shared" si="12"/>
        <v/>
      </c>
      <c r="F315" s="40"/>
      <c r="G315" s="29" t="str">
        <f t="shared" si="13"/>
        <v/>
      </c>
      <c r="H315" s="40"/>
      <c r="I315" s="29" t="str">
        <f t="shared" si="14"/>
        <v/>
      </c>
      <c r="J315" s="29"/>
    </row>
    <row r="316" spans="1:10" ht="22.05" customHeight="1" x14ac:dyDescent="0.45">
      <c r="A316" s="39" t="str">
        <f>IF(OR('Ground Schedule'!A67="",'Ground Schedule'!H67=""),"",'Ground Schedule'!A67)</f>
        <v/>
      </c>
      <c r="B316" s="29" t="str">
        <f>IF(A316="","",'Ground Schedule'!C67)</f>
        <v/>
      </c>
      <c r="C316" s="29" t="str">
        <f>IF(A316="","",'Ground Schedule'!H$4)</f>
        <v/>
      </c>
      <c r="D316" s="29" t="str">
        <f>IF(A316="","",'Ground Schedule'!H67)</f>
        <v/>
      </c>
      <c r="E316" s="29" t="str">
        <f t="shared" si="12"/>
        <v/>
      </c>
      <c r="F316" s="40"/>
      <c r="G316" s="29" t="str">
        <f t="shared" si="13"/>
        <v/>
      </c>
      <c r="H316" s="40"/>
      <c r="I316" s="29" t="str">
        <f t="shared" si="14"/>
        <v/>
      </c>
      <c r="J316" s="29"/>
    </row>
    <row r="317" spans="1:10" ht="22.05" customHeight="1" x14ac:dyDescent="0.45">
      <c r="A317" s="39" t="str">
        <f>IF(OR('Ground Schedule'!A67="",'Ground Schedule'!I67=""),"",'Ground Schedule'!A67)</f>
        <v/>
      </c>
      <c r="B317" s="29" t="str">
        <f>IF(A317="","",'Ground Schedule'!C67)</f>
        <v/>
      </c>
      <c r="C317" s="29" t="str">
        <f>IF(A317="","",'Ground Schedule'!I$4)</f>
        <v/>
      </c>
      <c r="D317" s="29" t="str">
        <f>IF(A317="","",'Ground Schedule'!I67)</f>
        <v/>
      </c>
      <c r="E317" s="29" t="str">
        <f t="shared" si="12"/>
        <v/>
      </c>
      <c r="F317" s="40"/>
      <c r="G317" s="29" t="str">
        <f t="shared" si="13"/>
        <v/>
      </c>
      <c r="H317" s="40"/>
      <c r="I317" s="29" t="str">
        <f t="shared" si="14"/>
        <v/>
      </c>
      <c r="J317" s="29"/>
    </row>
    <row r="318" spans="1:10" ht="22.05" customHeight="1" x14ac:dyDescent="0.45">
      <c r="A318" s="39" t="str">
        <f>IF(OR('Ground Schedule'!A67="",'Ground Schedule'!J67=""),"",'Ground Schedule'!A67)</f>
        <v/>
      </c>
      <c r="B318" s="29" t="str">
        <f>IF(A318="","",'Ground Schedule'!C67)</f>
        <v/>
      </c>
      <c r="C318" s="29" t="str">
        <f>IF(A318="","",'Ground Schedule'!J$4)</f>
        <v/>
      </c>
      <c r="D318" s="29" t="str">
        <f>IF(A318="","",'Ground Schedule'!J67)</f>
        <v/>
      </c>
      <c r="E318" s="29" t="str">
        <f t="shared" si="12"/>
        <v/>
      </c>
      <c r="F318" s="40"/>
      <c r="G318" s="29" t="str">
        <f t="shared" si="13"/>
        <v/>
      </c>
      <c r="H318" s="40"/>
      <c r="I318" s="29" t="str">
        <f t="shared" si="14"/>
        <v/>
      </c>
      <c r="J318" s="29"/>
    </row>
    <row r="319" spans="1:10" ht="22.05" customHeight="1" x14ac:dyDescent="0.45">
      <c r="A319" s="39" t="str">
        <f>IF(OR('Ground Schedule'!A68="",'Ground Schedule'!F68=""),"",'Ground Schedule'!A68)</f>
        <v/>
      </c>
      <c r="B319" s="29" t="str">
        <f>IF(A319="","",'Ground Schedule'!C68)</f>
        <v/>
      </c>
      <c r="C319" s="29" t="str">
        <f>IF(A319="","",'Ground Schedule'!F$4)</f>
        <v/>
      </c>
      <c r="D319" s="29" t="str">
        <f>IF(A319="","",'Ground Schedule'!F68)</f>
        <v/>
      </c>
      <c r="E319" s="29" t="str">
        <f t="shared" si="12"/>
        <v/>
      </c>
      <c r="F319" s="40"/>
      <c r="G319" s="29" t="str">
        <f t="shared" si="13"/>
        <v/>
      </c>
      <c r="H319" s="40"/>
      <c r="I319" s="29" t="str">
        <f t="shared" si="14"/>
        <v/>
      </c>
      <c r="J319" s="29"/>
    </row>
    <row r="320" spans="1:10" ht="22.05" customHeight="1" x14ac:dyDescent="0.45">
      <c r="A320" s="39" t="str">
        <f>IF(OR('Ground Schedule'!A68="",'Ground Schedule'!G68=""),"",'Ground Schedule'!A68)</f>
        <v/>
      </c>
      <c r="B320" s="29" t="str">
        <f>IF(A320="","",'Ground Schedule'!C68)</f>
        <v/>
      </c>
      <c r="C320" s="29" t="str">
        <f>IF(A320="","",'Ground Schedule'!G$4)</f>
        <v/>
      </c>
      <c r="D320" s="29" t="str">
        <f>IF(A320="","",'Ground Schedule'!G68)</f>
        <v/>
      </c>
      <c r="E320" s="29" t="str">
        <f t="shared" si="12"/>
        <v/>
      </c>
      <c r="F320" s="40"/>
      <c r="G320" s="29" t="str">
        <f t="shared" si="13"/>
        <v/>
      </c>
      <c r="H320" s="40"/>
      <c r="I320" s="29" t="str">
        <f t="shared" si="14"/>
        <v/>
      </c>
      <c r="J320" s="29"/>
    </row>
    <row r="321" spans="1:10" ht="22.05" customHeight="1" x14ac:dyDescent="0.45">
      <c r="A321" s="39" t="str">
        <f>IF(OR('Ground Schedule'!A68="",'Ground Schedule'!H68=""),"",'Ground Schedule'!A68)</f>
        <v/>
      </c>
      <c r="B321" s="29" t="str">
        <f>IF(A321="","",'Ground Schedule'!C68)</f>
        <v/>
      </c>
      <c r="C321" s="29" t="str">
        <f>IF(A321="","",'Ground Schedule'!H$4)</f>
        <v/>
      </c>
      <c r="D321" s="29" t="str">
        <f>IF(A321="","",'Ground Schedule'!H68)</f>
        <v/>
      </c>
      <c r="E321" s="29" t="str">
        <f t="shared" si="12"/>
        <v/>
      </c>
      <c r="F321" s="40"/>
      <c r="G321" s="29" t="str">
        <f t="shared" si="13"/>
        <v/>
      </c>
      <c r="H321" s="40"/>
      <c r="I321" s="29" t="str">
        <f t="shared" si="14"/>
        <v/>
      </c>
      <c r="J321" s="29"/>
    </row>
    <row r="322" spans="1:10" ht="22.05" customHeight="1" x14ac:dyDescent="0.45">
      <c r="A322" s="39" t="str">
        <f>IF(OR('Ground Schedule'!A68="",'Ground Schedule'!I68=""),"",'Ground Schedule'!A68)</f>
        <v/>
      </c>
      <c r="B322" s="29" t="str">
        <f>IF(A322="","",'Ground Schedule'!C68)</f>
        <v/>
      </c>
      <c r="C322" s="29" t="str">
        <f>IF(A322="","",'Ground Schedule'!I$4)</f>
        <v/>
      </c>
      <c r="D322" s="29" t="str">
        <f>IF(A322="","",'Ground Schedule'!I68)</f>
        <v/>
      </c>
      <c r="E322" s="29" t="str">
        <f t="shared" si="12"/>
        <v/>
      </c>
      <c r="F322" s="40"/>
      <c r="G322" s="29" t="str">
        <f t="shared" si="13"/>
        <v/>
      </c>
      <c r="H322" s="40"/>
      <c r="I322" s="29" t="str">
        <f t="shared" si="14"/>
        <v/>
      </c>
      <c r="J322" s="29"/>
    </row>
    <row r="323" spans="1:10" ht="22.05" customHeight="1" x14ac:dyDescent="0.45">
      <c r="A323" s="39" t="str">
        <f>IF(OR('Ground Schedule'!A68="",'Ground Schedule'!J68=""),"",'Ground Schedule'!A68)</f>
        <v/>
      </c>
      <c r="B323" s="29" t="str">
        <f>IF(A323="","",'Ground Schedule'!C68)</f>
        <v/>
      </c>
      <c r="C323" s="29" t="str">
        <f>IF(A323="","",'Ground Schedule'!J$4)</f>
        <v/>
      </c>
      <c r="D323" s="29" t="str">
        <f>IF(A323="","",'Ground Schedule'!J68)</f>
        <v/>
      </c>
      <c r="E323" s="29" t="str">
        <f t="shared" si="12"/>
        <v/>
      </c>
      <c r="F323" s="40"/>
      <c r="G323" s="29" t="str">
        <f t="shared" si="13"/>
        <v/>
      </c>
      <c r="H323" s="40"/>
      <c r="I323" s="29" t="str">
        <f t="shared" si="14"/>
        <v/>
      </c>
      <c r="J323" s="29"/>
    </row>
    <row r="324" spans="1:10" ht="22.05" customHeight="1" x14ac:dyDescent="0.45">
      <c r="A324" s="39" t="str">
        <f>IF(OR('Ground Schedule'!A69="",'Ground Schedule'!F69=""),"",'Ground Schedule'!A69)</f>
        <v/>
      </c>
      <c r="B324" s="29" t="str">
        <f>IF(A324="","",'Ground Schedule'!C69)</f>
        <v/>
      </c>
      <c r="C324" s="29" t="str">
        <f>IF(A324="","",'Ground Schedule'!F$4)</f>
        <v/>
      </c>
      <c r="D324" s="29" t="str">
        <f>IF(A324="","",'Ground Schedule'!F69)</f>
        <v/>
      </c>
      <c r="E324" s="29" t="str">
        <f t="shared" ref="E324:E387" si="15">IFERROR(TRIM(LEFT(D324,SEARCH(" vs ",D324)-1)),"")</f>
        <v/>
      </c>
      <c r="F324" s="40"/>
      <c r="G324" s="29" t="str">
        <f t="shared" ref="G324:G387" si="16">IFERROR(TRIM(MID(D324,SEARCH(" vs ",D324)+4,LEN(D324))),"")</f>
        <v/>
      </c>
      <c r="H324" s="40"/>
      <c r="I324" s="29" t="str">
        <f t="shared" ref="I324:I387" si="17">IF(OR(E324="",G324=""),"",IF(AND(F324="Paid",H324="Paid"),"Both Paid",IF(AND(OR(F324="Pending",F324=""),OR(H324="Pending",H324="")),"Both Pending",IF(AND(F324="Not Applicable",H324="Not Applicable"),"Not Applicable",IF(OR(F324="Paid",H324="Paid"),"Partially Paid","Pending")))))</f>
        <v/>
      </c>
      <c r="J324" s="29"/>
    </row>
    <row r="325" spans="1:10" ht="22.05" customHeight="1" x14ac:dyDescent="0.45">
      <c r="A325" s="39" t="str">
        <f>IF(OR('Ground Schedule'!A69="",'Ground Schedule'!G69=""),"",'Ground Schedule'!A69)</f>
        <v/>
      </c>
      <c r="B325" s="29" t="str">
        <f>IF(A325="","",'Ground Schedule'!C69)</f>
        <v/>
      </c>
      <c r="C325" s="29" t="str">
        <f>IF(A325="","",'Ground Schedule'!G$4)</f>
        <v/>
      </c>
      <c r="D325" s="29" t="str">
        <f>IF(A325="","",'Ground Schedule'!G69)</f>
        <v/>
      </c>
      <c r="E325" s="29" t="str">
        <f t="shared" si="15"/>
        <v/>
      </c>
      <c r="F325" s="40"/>
      <c r="G325" s="29" t="str">
        <f t="shared" si="16"/>
        <v/>
      </c>
      <c r="H325" s="40"/>
      <c r="I325" s="29" t="str">
        <f t="shared" si="17"/>
        <v/>
      </c>
      <c r="J325" s="29"/>
    </row>
    <row r="326" spans="1:10" ht="22.05" customHeight="1" x14ac:dyDescent="0.45">
      <c r="A326" s="39" t="str">
        <f>IF(OR('Ground Schedule'!A69="",'Ground Schedule'!H69=""),"",'Ground Schedule'!A69)</f>
        <v/>
      </c>
      <c r="B326" s="29" t="str">
        <f>IF(A326="","",'Ground Schedule'!C69)</f>
        <v/>
      </c>
      <c r="C326" s="29" t="str">
        <f>IF(A326="","",'Ground Schedule'!H$4)</f>
        <v/>
      </c>
      <c r="D326" s="29" t="str">
        <f>IF(A326="","",'Ground Schedule'!H69)</f>
        <v/>
      </c>
      <c r="E326" s="29" t="str">
        <f t="shared" si="15"/>
        <v/>
      </c>
      <c r="F326" s="40"/>
      <c r="G326" s="29" t="str">
        <f t="shared" si="16"/>
        <v/>
      </c>
      <c r="H326" s="40"/>
      <c r="I326" s="29" t="str">
        <f t="shared" si="17"/>
        <v/>
      </c>
      <c r="J326" s="29"/>
    </row>
    <row r="327" spans="1:10" ht="22.05" customHeight="1" x14ac:dyDescent="0.45">
      <c r="A327" s="39" t="str">
        <f>IF(OR('Ground Schedule'!A69="",'Ground Schedule'!I69=""),"",'Ground Schedule'!A69)</f>
        <v/>
      </c>
      <c r="B327" s="29" t="str">
        <f>IF(A327="","",'Ground Schedule'!C69)</f>
        <v/>
      </c>
      <c r="C327" s="29" t="str">
        <f>IF(A327="","",'Ground Schedule'!I$4)</f>
        <v/>
      </c>
      <c r="D327" s="29" t="str">
        <f>IF(A327="","",'Ground Schedule'!I69)</f>
        <v/>
      </c>
      <c r="E327" s="29" t="str">
        <f t="shared" si="15"/>
        <v/>
      </c>
      <c r="F327" s="40"/>
      <c r="G327" s="29" t="str">
        <f t="shared" si="16"/>
        <v/>
      </c>
      <c r="H327" s="40"/>
      <c r="I327" s="29" t="str">
        <f t="shared" si="17"/>
        <v/>
      </c>
      <c r="J327" s="29"/>
    </row>
    <row r="328" spans="1:10" ht="22.05" customHeight="1" x14ac:dyDescent="0.45">
      <c r="A328" s="39" t="str">
        <f>IF(OR('Ground Schedule'!A69="",'Ground Schedule'!J69=""),"",'Ground Schedule'!A69)</f>
        <v/>
      </c>
      <c r="B328" s="29" t="str">
        <f>IF(A328="","",'Ground Schedule'!C69)</f>
        <v/>
      </c>
      <c r="C328" s="29" t="str">
        <f>IF(A328="","",'Ground Schedule'!J$4)</f>
        <v/>
      </c>
      <c r="D328" s="29" t="str">
        <f>IF(A328="","",'Ground Schedule'!J69)</f>
        <v/>
      </c>
      <c r="E328" s="29" t="str">
        <f t="shared" si="15"/>
        <v/>
      </c>
      <c r="F328" s="40"/>
      <c r="G328" s="29" t="str">
        <f t="shared" si="16"/>
        <v/>
      </c>
      <c r="H328" s="40"/>
      <c r="I328" s="29" t="str">
        <f t="shared" si="17"/>
        <v/>
      </c>
      <c r="J328" s="29"/>
    </row>
    <row r="329" spans="1:10" ht="22.05" customHeight="1" x14ac:dyDescent="0.45">
      <c r="A329" s="39" t="str">
        <f>IF(OR('Ground Schedule'!A70="",'Ground Schedule'!F70=""),"",'Ground Schedule'!A70)</f>
        <v/>
      </c>
      <c r="B329" s="29" t="str">
        <f>IF(A329="","",'Ground Schedule'!C70)</f>
        <v/>
      </c>
      <c r="C329" s="29" t="str">
        <f>IF(A329="","",'Ground Schedule'!F$4)</f>
        <v/>
      </c>
      <c r="D329" s="29" t="str">
        <f>IF(A329="","",'Ground Schedule'!F70)</f>
        <v/>
      </c>
      <c r="E329" s="29" t="str">
        <f t="shared" si="15"/>
        <v/>
      </c>
      <c r="F329" s="40"/>
      <c r="G329" s="29" t="str">
        <f t="shared" si="16"/>
        <v/>
      </c>
      <c r="H329" s="40"/>
      <c r="I329" s="29" t="str">
        <f t="shared" si="17"/>
        <v/>
      </c>
      <c r="J329" s="29"/>
    </row>
    <row r="330" spans="1:10" ht="22.05" customHeight="1" x14ac:dyDescent="0.45">
      <c r="A330" s="39" t="str">
        <f>IF(OR('Ground Schedule'!A70="",'Ground Schedule'!G70=""),"",'Ground Schedule'!A70)</f>
        <v/>
      </c>
      <c r="B330" s="29" t="str">
        <f>IF(A330="","",'Ground Schedule'!C70)</f>
        <v/>
      </c>
      <c r="C330" s="29" t="str">
        <f>IF(A330="","",'Ground Schedule'!G$4)</f>
        <v/>
      </c>
      <c r="D330" s="29" t="str">
        <f>IF(A330="","",'Ground Schedule'!G70)</f>
        <v/>
      </c>
      <c r="E330" s="29" t="str">
        <f t="shared" si="15"/>
        <v/>
      </c>
      <c r="F330" s="40"/>
      <c r="G330" s="29" t="str">
        <f t="shared" si="16"/>
        <v/>
      </c>
      <c r="H330" s="40"/>
      <c r="I330" s="29" t="str">
        <f t="shared" si="17"/>
        <v/>
      </c>
      <c r="J330" s="29"/>
    </row>
    <row r="331" spans="1:10" ht="22.05" customHeight="1" x14ac:dyDescent="0.45">
      <c r="A331" s="39" t="str">
        <f>IF(OR('Ground Schedule'!A70="",'Ground Schedule'!H70=""),"",'Ground Schedule'!A70)</f>
        <v/>
      </c>
      <c r="B331" s="29" t="str">
        <f>IF(A331="","",'Ground Schedule'!C70)</f>
        <v/>
      </c>
      <c r="C331" s="29" t="str">
        <f>IF(A331="","",'Ground Schedule'!H$4)</f>
        <v/>
      </c>
      <c r="D331" s="29" t="str">
        <f>IF(A331="","",'Ground Schedule'!H70)</f>
        <v/>
      </c>
      <c r="E331" s="29" t="str">
        <f t="shared" si="15"/>
        <v/>
      </c>
      <c r="F331" s="40"/>
      <c r="G331" s="29" t="str">
        <f t="shared" si="16"/>
        <v/>
      </c>
      <c r="H331" s="40"/>
      <c r="I331" s="29" t="str">
        <f t="shared" si="17"/>
        <v/>
      </c>
      <c r="J331" s="29"/>
    </row>
    <row r="332" spans="1:10" ht="22.05" customHeight="1" x14ac:dyDescent="0.45">
      <c r="A332" s="39" t="str">
        <f>IF(OR('Ground Schedule'!A70="",'Ground Schedule'!I70=""),"",'Ground Schedule'!A70)</f>
        <v/>
      </c>
      <c r="B332" s="29" t="str">
        <f>IF(A332="","",'Ground Schedule'!C70)</f>
        <v/>
      </c>
      <c r="C332" s="29" t="str">
        <f>IF(A332="","",'Ground Schedule'!I$4)</f>
        <v/>
      </c>
      <c r="D332" s="29" t="str">
        <f>IF(A332="","",'Ground Schedule'!I70)</f>
        <v/>
      </c>
      <c r="E332" s="29" t="str">
        <f t="shared" si="15"/>
        <v/>
      </c>
      <c r="F332" s="40"/>
      <c r="G332" s="29" t="str">
        <f t="shared" si="16"/>
        <v/>
      </c>
      <c r="H332" s="40"/>
      <c r="I332" s="29" t="str">
        <f t="shared" si="17"/>
        <v/>
      </c>
      <c r="J332" s="29"/>
    </row>
    <row r="333" spans="1:10" ht="22.05" customHeight="1" x14ac:dyDescent="0.45">
      <c r="A333" s="39" t="str">
        <f>IF(OR('Ground Schedule'!A70="",'Ground Schedule'!J70=""),"",'Ground Schedule'!A70)</f>
        <v/>
      </c>
      <c r="B333" s="29" t="str">
        <f>IF(A333="","",'Ground Schedule'!C70)</f>
        <v/>
      </c>
      <c r="C333" s="29" t="str">
        <f>IF(A333="","",'Ground Schedule'!J$4)</f>
        <v/>
      </c>
      <c r="D333" s="29" t="str">
        <f>IF(A333="","",'Ground Schedule'!J70)</f>
        <v/>
      </c>
      <c r="E333" s="29" t="str">
        <f t="shared" si="15"/>
        <v/>
      </c>
      <c r="F333" s="40"/>
      <c r="G333" s="29" t="str">
        <f t="shared" si="16"/>
        <v/>
      </c>
      <c r="H333" s="40"/>
      <c r="I333" s="29" t="str">
        <f t="shared" si="17"/>
        <v/>
      </c>
      <c r="J333" s="29"/>
    </row>
    <row r="334" spans="1:10" ht="22.05" customHeight="1" x14ac:dyDescent="0.45">
      <c r="A334" s="39" t="str">
        <f>IF(OR('Ground Schedule'!A71="",'Ground Schedule'!F71=""),"",'Ground Schedule'!A71)</f>
        <v/>
      </c>
      <c r="B334" s="29" t="str">
        <f>IF(A334="","",'Ground Schedule'!C71)</f>
        <v/>
      </c>
      <c r="C334" s="29" t="str">
        <f>IF(A334="","",'Ground Schedule'!F$4)</f>
        <v/>
      </c>
      <c r="D334" s="29" t="str">
        <f>IF(A334="","",'Ground Schedule'!F71)</f>
        <v/>
      </c>
      <c r="E334" s="29" t="str">
        <f t="shared" si="15"/>
        <v/>
      </c>
      <c r="F334" s="40"/>
      <c r="G334" s="29" t="str">
        <f t="shared" si="16"/>
        <v/>
      </c>
      <c r="H334" s="40"/>
      <c r="I334" s="29" t="str">
        <f t="shared" si="17"/>
        <v/>
      </c>
      <c r="J334" s="29"/>
    </row>
    <row r="335" spans="1:10" ht="22.05" customHeight="1" x14ac:dyDescent="0.45">
      <c r="A335" s="39" t="str">
        <f>IF(OR('Ground Schedule'!A71="",'Ground Schedule'!G71=""),"",'Ground Schedule'!A71)</f>
        <v/>
      </c>
      <c r="B335" s="29" t="str">
        <f>IF(A335="","",'Ground Schedule'!C71)</f>
        <v/>
      </c>
      <c r="C335" s="29" t="str">
        <f>IF(A335="","",'Ground Schedule'!G$4)</f>
        <v/>
      </c>
      <c r="D335" s="29" t="str">
        <f>IF(A335="","",'Ground Schedule'!G71)</f>
        <v/>
      </c>
      <c r="E335" s="29" t="str">
        <f t="shared" si="15"/>
        <v/>
      </c>
      <c r="F335" s="40"/>
      <c r="G335" s="29" t="str">
        <f t="shared" si="16"/>
        <v/>
      </c>
      <c r="H335" s="40"/>
      <c r="I335" s="29" t="str">
        <f t="shared" si="17"/>
        <v/>
      </c>
      <c r="J335" s="29"/>
    </row>
    <row r="336" spans="1:10" ht="22.05" customHeight="1" x14ac:dyDescent="0.45">
      <c r="A336" s="39" t="str">
        <f>IF(OR('Ground Schedule'!A71="",'Ground Schedule'!H71=""),"",'Ground Schedule'!A71)</f>
        <v/>
      </c>
      <c r="B336" s="29" t="str">
        <f>IF(A336="","",'Ground Schedule'!C71)</f>
        <v/>
      </c>
      <c r="C336" s="29" t="str">
        <f>IF(A336="","",'Ground Schedule'!H$4)</f>
        <v/>
      </c>
      <c r="D336" s="29" t="str">
        <f>IF(A336="","",'Ground Schedule'!H71)</f>
        <v/>
      </c>
      <c r="E336" s="29" t="str">
        <f t="shared" si="15"/>
        <v/>
      </c>
      <c r="F336" s="40"/>
      <c r="G336" s="29" t="str">
        <f t="shared" si="16"/>
        <v/>
      </c>
      <c r="H336" s="40"/>
      <c r="I336" s="29" t="str">
        <f t="shared" si="17"/>
        <v/>
      </c>
      <c r="J336" s="29"/>
    </row>
    <row r="337" spans="1:10" ht="22.05" customHeight="1" x14ac:dyDescent="0.45">
      <c r="A337" s="39" t="str">
        <f>IF(OR('Ground Schedule'!A71="",'Ground Schedule'!I71=""),"",'Ground Schedule'!A71)</f>
        <v/>
      </c>
      <c r="B337" s="29" t="str">
        <f>IF(A337="","",'Ground Schedule'!C71)</f>
        <v/>
      </c>
      <c r="C337" s="29" t="str">
        <f>IF(A337="","",'Ground Schedule'!I$4)</f>
        <v/>
      </c>
      <c r="D337" s="29" t="str">
        <f>IF(A337="","",'Ground Schedule'!I71)</f>
        <v/>
      </c>
      <c r="E337" s="29" t="str">
        <f t="shared" si="15"/>
        <v/>
      </c>
      <c r="F337" s="40"/>
      <c r="G337" s="29" t="str">
        <f t="shared" si="16"/>
        <v/>
      </c>
      <c r="H337" s="40"/>
      <c r="I337" s="29" t="str">
        <f t="shared" si="17"/>
        <v/>
      </c>
      <c r="J337" s="29"/>
    </row>
    <row r="338" spans="1:10" ht="22.05" customHeight="1" x14ac:dyDescent="0.45">
      <c r="A338" s="39" t="str">
        <f>IF(OR('Ground Schedule'!A71="",'Ground Schedule'!J71=""),"",'Ground Schedule'!A71)</f>
        <v/>
      </c>
      <c r="B338" s="29" t="str">
        <f>IF(A338="","",'Ground Schedule'!C71)</f>
        <v/>
      </c>
      <c r="C338" s="29" t="str">
        <f>IF(A338="","",'Ground Schedule'!J$4)</f>
        <v/>
      </c>
      <c r="D338" s="29" t="str">
        <f>IF(A338="","",'Ground Schedule'!J71)</f>
        <v/>
      </c>
      <c r="E338" s="29" t="str">
        <f t="shared" si="15"/>
        <v/>
      </c>
      <c r="F338" s="40"/>
      <c r="G338" s="29" t="str">
        <f t="shared" si="16"/>
        <v/>
      </c>
      <c r="H338" s="40"/>
      <c r="I338" s="29" t="str">
        <f t="shared" si="17"/>
        <v/>
      </c>
      <c r="J338" s="29"/>
    </row>
    <row r="339" spans="1:10" ht="22.05" customHeight="1" x14ac:dyDescent="0.45">
      <c r="A339" s="39" t="str">
        <f>IF(OR('Ground Schedule'!A72="",'Ground Schedule'!F72=""),"",'Ground Schedule'!A72)</f>
        <v/>
      </c>
      <c r="B339" s="29" t="str">
        <f>IF(A339="","",'Ground Schedule'!C72)</f>
        <v/>
      </c>
      <c r="C339" s="29" t="str">
        <f>IF(A339="","",'Ground Schedule'!F$4)</f>
        <v/>
      </c>
      <c r="D339" s="29" t="str">
        <f>IF(A339="","",'Ground Schedule'!F72)</f>
        <v/>
      </c>
      <c r="E339" s="29" t="str">
        <f t="shared" si="15"/>
        <v/>
      </c>
      <c r="F339" s="40"/>
      <c r="G339" s="29" t="str">
        <f t="shared" si="16"/>
        <v/>
      </c>
      <c r="H339" s="40"/>
      <c r="I339" s="29" t="str">
        <f t="shared" si="17"/>
        <v/>
      </c>
      <c r="J339" s="29"/>
    </row>
    <row r="340" spans="1:10" ht="22.05" customHeight="1" x14ac:dyDescent="0.45">
      <c r="A340" s="39" t="str">
        <f>IF(OR('Ground Schedule'!A72="",'Ground Schedule'!G72=""),"",'Ground Schedule'!A72)</f>
        <v/>
      </c>
      <c r="B340" s="29" t="str">
        <f>IF(A340="","",'Ground Schedule'!C72)</f>
        <v/>
      </c>
      <c r="C340" s="29" t="str">
        <f>IF(A340="","",'Ground Schedule'!G$4)</f>
        <v/>
      </c>
      <c r="D340" s="29" t="str">
        <f>IF(A340="","",'Ground Schedule'!G72)</f>
        <v/>
      </c>
      <c r="E340" s="29" t="str">
        <f t="shared" si="15"/>
        <v/>
      </c>
      <c r="F340" s="40"/>
      <c r="G340" s="29" t="str">
        <f t="shared" si="16"/>
        <v/>
      </c>
      <c r="H340" s="40"/>
      <c r="I340" s="29" t="str">
        <f t="shared" si="17"/>
        <v/>
      </c>
      <c r="J340" s="29"/>
    </row>
    <row r="341" spans="1:10" ht="22.05" customHeight="1" x14ac:dyDescent="0.45">
      <c r="A341" s="39" t="str">
        <f>IF(OR('Ground Schedule'!A72="",'Ground Schedule'!H72=""),"",'Ground Schedule'!A72)</f>
        <v/>
      </c>
      <c r="B341" s="29" t="str">
        <f>IF(A341="","",'Ground Schedule'!C72)</f>
        <v/>
      </c>
      <c r="C341" s="29" t="str">
        <f>IF(A341="","",'Ground Schedule'!H$4)</f>
        <v/>
      </c>
      <c r="D341" s="29" t="str">
        <f>IF(A341="","",'Ground Schedule'!H72)</f>
        <v/>
      </c>
      <c r="E341" s="29" t="str">
        <f t="shared" si="15"/>
        <v/>
      </c>
      <c r="F341" s="40"/>
      <c r="G341" s="29" t="str">
        <f t="shared" si="16"/>
        <v/>
      </c>
      <c r="H341" s="40"/>
      <c r="I341" s="29" t="str">
        <f t="shared" si="17"/>
        <v/>
      </c>
      <c r="J341" s="29"/>
    </row>
    <row r="342" spans="1:10" ht="22.05" customHeight="1" x14ac:dyDescent="0.45">
      <c r="A342" s="39" t="str">
        <f>IF(OR('Ground Schedule'!A72="",'Ground Schedule'!I72=""),"",'Ground Schedule'!A72)</f>
        <v/>
      </c>
      <c r="B342" s="29" t="str">
        <f>IF(A342="","",'Ground Schedule'!C72)</f>
        <v/>
      </c>
      <c r="C342" s="29" t="str">
        <f>IF(A342="","",'Ground Schedule'!I$4)</f>
        <v/>
      </c>
      <c r="D342" s="29" t="str">
        <f>IF(A342="","",'Ground Schedule'!I72)</f>
        <v/>
      </c>
      <c r="E342" s="29" t="str">
        <f t="shared" si="15"/>
        <v/>
      </c>
      <c r="F342" s="40"/>
      <c r="G342" s="29" t="str">
        <f t="shared" si="16"/>
        <v/>
      </c>
      <c r="H342" s="40"/>
      <c r="I342" s="29" t="str">
        <f t="shared" si="17"/>
        <v/>
      </c>
      <c r="J342" s="29"/>
    </row>
    <row r="343" spans="1:10" ht="22.05" customHeight="1" x14ac:dyDescent="0.45">
      <c r="A343" s="39" t="str">
        <f>IF(OR('Ground Schedule'!A72="",'Ground Schedule'!J72=""),"",'Ground Schedule'!A72)</f>
        <v/>
      </c>
      <c r="B343" s="29" t="str">
        <f>IF(A343="","",'Ground Schedule'!C72)</f>
        <v/>
      </c>
      <c r="C343" s="29" t="str">
        <f>IF(A343="","",'Ground Schedule'!J$4)</f>
        <v/>
      </c>
      <c r="D343" s="29" t="str">
        <f>IF(A343="","",'Ground Schedule'!J72)</f>
        <v/>
      </c>
      <c r="E343" s="29" t="str">
        <f t="shared" si="15"/>
        <v/>
      </c>
      <c r="F343" s="40"/>
      <c r="G343" s="29" t="str">
        <f t="shared" si="16"/>
        <v/>
      </c>
      <c r="H343" s="40"/>
      <c r="I343" s="29" t="str">
        <f t="shared" si="17"/>
        <v/>
      </c>
      <c r="J343" s="29"/>
    </row>
    <row r="344" spans="1:10" ht="22.05" customHeight="1" x14ac:dyDescent="0.45">
      <c r="A344" s="39" t="str">
        <f>IF(OR('Ground Schedule'!A73="",'Ground Schedule'!F73=""),"",'Ground Schedule'!A73)</f>
        <v/>
      </c>
      <c r="B344" s="29" t="str">
        <f>IF(A344="","",'Ground Schedule'!C73)</f>
        <v/>
      </c>
      <c r="C344" s="29" t="str">
        <f>IF(A344="","",'Ground Schedule'!F$4)</f>
        <v/>
      </c>
      <c r="D344" s="29" t="str">
        <f>IF(A344="","",'Ground Schedule'!F73)</f>
        <v/>
      </c>
      <c r="E344" s="29" t="str">
        <f t="shared" si="15"/>
        <v/>
      </c>
      <c r="F344" s="40"/>
      <c r="G344" s="29" t="str">
        <f t="shared" si="16"/>
        <v/>
      </c>
      <c r="H344" s="40"/>
      <c r="I344" s="29" t="str">
        <f t="shared" si="17"/>
        <v/>
      </c>
      <c r="J344" s="29"/>
    </row>
    <row r="345" spans="1:10" ht="22.05" customHeight="1" x14ac:dyDescent="0.45">
      <c r="A345" s="39" t="str">
        <f>IF(OR('Ground Schedule'!A73="",'Ground Schedule'!G73=""),"",'Ground Schedule'!A73)</f>
        <v/>
      </c>
      <c r="B345" s="29" t="str">
        <f>IF(A345="","",'Ground Schedule'!C73)</f>
        <v/>
      </c>
      <c r="C345" s="29" t="str">
        <f>IF(A345="","",'Ground Schedule'!G$4)</f>
        <v/>
      </c>
      <c r="D345" s="29" t="str">
        <f>IF(A345="","",'Ground Schedule'!G73)</f>
        <v/>
      </c>
      <c r="E345" s="29" t="str">
        <f t="shared" si="15"/>
        <v/>
      </c>
      <c r="F345" s="40"/>
      <c r="G345" s="29" t="str">
        <f t="shared" si="16"/>
        <v/>
      </c>
      <c r="H345" s="40"/>
      <c r="I345" s="29" t="str">
        <f t="shared" si="17"/>
        <v/>
      </c>
      <c r="J345" s="29"/>
    </row>
    <row r="346" spans="1:10" ht="22.05" customHeight="1" x14ac:dyDescent="0.45">
      <c r="A346" s="39" t="str">
        <f>IF(OR('Ground Schedule'!A73="",'Ground Schedule'!H73=""),"",'Ground Schedule'!A73)</f>
        <v/>
      </c>
      <c r="B346" s="29" t="str">
        <f>IF(A346="","",'Ground Schedule'!C73)</f>
        <v/>
      </c>
      <c r="C346" s="29" t="str">
        <f>IF(A346="","",'Ground Schedule'!H$4)</f>
        <v/>
      </c>
      <c r="D346" s="29" t="str">
        <f>IF(A346="","",'Ground Schedule'!H73)</f>
        <v/>
      </c>
      <c r="E346" s="29" t="str">
        <f t="shared" si="15"/>
        <v/>
      </c>
      <c r="F346" s="40"/>
      <c r="G346" s="29" t="str">
        <f t="shared" si="16"/>
        <v/>
      </c>
      <c r="H346" s="40"/>
      <c r="I346" s="29" t="str">
        <f t="shared" si="17"/>
        <v/>
      </c>
      <c r="J346" s="29"/>
    </row>
    <row r="347" spans="1:10" ht="22.05" customHeight="1" x14ac:dyDescent="0.45">
      <c r="A347" s="39" t="str">
        <f>IF(OR('Ground Schedule'!A73="",'Ground Schedule'!I73=""),"",'Ground Schedule'!A73)</f>
        <v/>
      </c>
      <c r="B347" s="29" t="str">
        <f>IF(A347="","",'Ground Schedule'!C73)</f>
        <v/>
      </c>
      <c r="C347" s="29" t="str">
        <f>IF(A347="","",'Ground Schedule'!I$4)</f>
        <v/>
      </c>
      <c r="D347" s="29" t="str">
        <f>IF(A347="","",'Ground Schedule'!I73)</f>
        <v/>
      </c>
      <c r="E347" s="29" t="str">
        <f t="shared" si="15"/>
        <v/>
      </c>
      <c r="F347" s="40"/>
      <c r="G347" s="29" t="str">
        <f t="shared" si="16"/>
        <v/>
      </c>
      <c r="H347" s="40"/>
      <c r="I347" s="29" t="str">
        <f t="shared" si="17"/>
        <v/>
      </c>
      <c r="J347" s="29"/>
    </row>
    <row r="348" spans="1:10" ht="22.05" customHeight="1" x14ac:dyDescent="0.45">
      <c r="A348" s="39" t="str">
        <f>IF(OR('Ground Schedule'!A73="",'Ground Schedule'!J73=""),"",'Ground Schedule'!A73)</f>
        <v/>
      </c>
      <c r="B348" s="29" t="str">
        <f>IF(A348="","",'Ground Schedule'!C73)</f>
        <v/>
      </c>
      <c r="C348" s="29" t="str">
        <f>IF(A348="","",'Ground Schedule'!J$4)</f>
        <v/>
      </c>
      <c r="D348" s="29" t="str">
        <f>IF(A348="","",'Ground Schedule'!J73)</f>
        <v/>
      </c>
      <c r="E348" s="29" t="str">
        <f t="shared" si="15"/>
        <v/>
      </c>
      <c r="F348" s="40"/>
      <c r="G348" s="29" t="str">
        <f t="shared" si="16"/>
        <v/>
      </c>
      <c r="H348" s="40"/>
      <c r="I348" s="29" t="str">
        <f t="shared" si="17"/>
        <v/>
      </c>
      <c r="J348" s="29"/>
    </row>
    <row r="349" spans="1:10" ht="22.05" customHeight="1" x14ac:dyDescent="0.45">
      <c r="A349" s="39" t="str">
        <f>IF(OR('Ground Schedule'!A74="",'Ground Schedule'!F74=""),"",'Ground Schedule'!A74)</f>
        <v/>
      </c>
      <c r="B349" s="29" t="str">
        <f>IF(A349="","",'Ground Schedule'!C74)</f>
        <v/>
      </c>
      <c r="C349" s="29" t="str">
        <f>IF(A349="","",'Ground Schedule'!F$4)</f>
        <v/>
      </c>
      <c r="D349" s="29" t="str">
        <f>IF(A349="","",'Ground Schedule'!F74)</f>
        <v/>
      </c>
      <c r="E349" s="29" t="str">
        <f t="shared" si="15"/>
        <v/>
      </c>
      <c r="F349" s="40"/>
      <c r="G349" s="29" t="str">
        <f t="shared" si="16"/>
        <v/>
      </c>
      <c r="H349" s="40"/>
      <c r="I349" s="29" t="str">
        <f t="shared" si="17"/>
        <v/>
      </c>
      <c r="J349" s="29"/>
    </row>
    <row r="350" spans="1:10" ht="22.05" customHeight="1" x14ac:dyDescent="0.45">
      <c r="A350" s="39" t="str">
        <f>IF(OR('Ground Schedule'!A74="",'Ground Schedule'!G74=""),"",'Ground Schedule'!A74)</f>
        <v/>
      </c>
      <c r="B350" s="29" t="str">
        <f>IF(A350="","",'Ground Schedule'!C74)</f>
        <v/>
      </c>
      <c r="C350" s="29" t="str">
        <f>IF(A350="","",'Ground Schedule'!G$4)</f>
        <v/>
      </c>
      <c r="D350" s="29" t="str">
        <f>IF(A350="","",'Ground Schedule'!G74)</f>
        <v/>
      </c>
      <c r="E350" s="29" t="str">
        <f t="shared" si="15"/>
        <v/>
      </c>
      <c r="F350" s="40"/>
      <c r="G350" s="29" t="str">
        <f t="shared" si="16"/>
        <v/>
      </c>
      <c r="H350" s="40"/>
      <c r="I350" s="29" t="str">
        <f t="shared" si="17"/>
        <v/>
      </c>
      <c r="J350" s="29"/>
    </row>
    <row r="351" spans="1:10" ht="22.05" customHeight="1" x14ac:dyDescent="0.45">
      <c r="A351" s="39" t="str">
        <f>IF(OR('Ground Schedule'!A74="",'Ground Schedule'!H74=""),"",'Ground Schedule'!A74)</f>
        <v/>
      </c>
      <c r="B351" s="29" t="str">
        <f>IF(A351="","",'Ground Schedule'!C74)</f>
        <v/>
      </c>
      <c r="C351" s="29" t="str">
        <f>IF(A351="","",'Ground Schedule'!H$4)</f>
        <v/>
      </c>
      <c r="D351" s="29" t="str">
        <f>IF(A351="","",'Ground Schedule'!H74)</f>
        <v/>
      </c>
      <c r="E351" s="29" t="str">
        <f t="shared" si="15"/>
        <v/>
      </c>
      <c r="F351" s="40"/>
      <c r="G351" s="29" t="str">
        <f t="shared" si="16"/>
        <v/>
      </c>
      <c r="H351" s="40"/>
      <c r="I351" s="29" t="str">
        <f t="shared" si="17"/>
        <v/>
      </c>
      <c r="J351" s="29"/>
    </row>
    <row r="352" spans="1:10" ht="22.05" customHeight="1" x14ac:dyDescent="0.45">
      <c r="A352" s="39" t="str">
        <f>IF(OR('Ground Schedule'!A74="",'Ground Schedule'!I74=""),"",'Ground Schedule'!A74)</f>
        <v/>
      </c>
      <c r="B352" s="29" t="str">
        <f>IF(A352="","",'Ground Schedule'!C74)</f>
        <v/>
      </c>
      <c r="C352" s="29" t="str">
        <f>IF(A352="","",'Ground Schedule'!I$4)</f>
        <v/>
      </c>
      <c r="D352" s="29" t="str">
        <f>IF(A352="","",'Ground Schedule'!I74)</f>
        <v/>
      </c>
      <c r="E352" s="29" t="str">
        <f t="shared" si="15"/>
        <v/>
      </c>
      <c r="F352" s="40"/>
      <c r="G352" s="29" t="str">
        <f t="shared" si="16"/>
        <v/>
      </c>
      <c r="H352" s="40"/>
      <c r="I352" s="29" t="str">
        <f t="shared" si="17"/>
        <v/>
      </c>
      <c r="J352" s="29"/>
    </row>
    <row r="353" spans="1:10" ht="22.05" customHeight="1" x14ac:dyDescent="0.45">
      <c r="A353" s="39" t="str">
        <f>IF(OR('Ground Schedule'!A74="",'Ground Schedule'!J74=""),"",'Ground Schedule'!A74)</f>
        <v/>
      </c>
      <c r="B353" s="29" t="str">
        <f>IF(A353="","",'Ground Schedule'!C74)</f>
        <v/>
      </c>
      <c r="C353" s="29" t="str">
        <f>IF(A353="","",'Ground Schedule'!J$4)</f>
        <v/>
      </c>
      <c r="D353" s="29" t="str">
        <f>IF(A353="","",'Ground Schedule'!J74)</f>
        <v/>
      </c>
      <c r="E353" s="29" t="str">
        <f t="shared" si="15"/>
        <v/>
      </c>
      <c r="F353" s="40"/>
      <c r="G353" s="29" t="str">
        <f t="shared" si="16"/>
        <v/>
      </c>
      <c r="H353" s="40"/>
      <c r="I353" s="29" t="str">
        <f t="shared" si="17"/>
        <v/>
      </c>
      <c r="J353" s="29"/>
    </row>
    <row r="354" spans="1:10" ht="22.05" customHeight="1" x14ac:dyDescent="0.45">
      <c r="A354" s="39" t="str">
        <f>IF(OR('Ground Schedule'!A75="",'Ground Schedule'!F75=""),"",'Ground Schedule'!A75)</f>
        <v/>
      </c>
      <c r="B354" s="29" t="str">
        <f>IF(A354="","",'Ground Schedule'!C75)</f>
        <v/>
      </c>
      <c r="C354" s="29" t="str">
        <f>IF(A354="","",'Ground Schedule'!F$4)</f>
        <v/>
      </c>
      <c r="D354" s="29" t="str">
        <f>IF(A354="","",'Ground Schedule'!F75)</f>
        <v/>
      </c>
      <c r="E354" s="29" t="str">
        <f t="shared" si="15"/>
        <v/>
      </c>
      <c r="F354" s="40"/>
      <c r="G354" s="29" t="str">
        <f t="shared" si="16"/>
        <v/>
      </c>
      <c r="H354" s="40"/>
      <c r="I354" s="29" t="str">
        <f t="shared" si="17"/>
        <v/>
      </c>
      <c r="J354" s="29"/>
    </row>
    <row r="355" spans="1:10" ht="22.05" customHeight="1" x14ac:dyDescent="0.45">
      <c r="A355" s="39" t="str">
        <f>IF(OR('Ground Schedule'!A75="",'Ground Schedule'!G75=""),"",'Ground Schedule'!A75)</f>
        <v/>
      </c>
      <c r="B355" s="29" t="str">
        <f>IF(A355="","",'Ground Schedule'!C75)</f>
        <v/>
      </c>
      <c r="C355" s="29" t="str">
        <f>IF(A355="","",'Ground Schedule'!G$4)</f>
        <v/>
      </c>
      <c r="D355" s="29" t="str">
        <f>IF(A355="","",'Ground Schedule'!G75)</f>
        <v/>
      </c>
      <c r="E355" s="29" t="str">
        <f t="shared" si="15"/>
        <v/>
      </c>
      <c r="F355" s="40"/>
      <c r="G355" s="29" t="str">
        <f t="shared" si="16"/>
        <v/>
      </c>
      <c r="H355" s="40"/>
      <c r="I355" s="29" t="str">
        <f t="shared" si="17"/>
        <v/>
      </c>
      <c r="J355" s="29"/>
    </row>
    <row r="356" spans="1:10" ht="22.05" customHeight="1" x14ac:dyDescent="0.45">
      <c r="A356" s="39" t="str">
        <f>IF(OR('Ground Schedule'!A75="",'Ground Schedule'!H75=""),"",'Ground Schedule'!A75)</f>
        <v/>
      </c>
      <c r="B356" s="29" t="str">
        <f>IF(A356="","",'Ground Schedule'!C75)</f>
        <v/>
      </c>
      <c r="C356" s="29" t="str">
        <f>IF(A356="","",'Ground Schedule'!H$4)</f>
        <v/>
      </c>
      <c r="D356" s="29" t="str">
        <f>IF(A356="","",'Ground Schedule'!H75)</f>
        <v/>
      </c>
      <c r="E356" s="29" t="str">
        <f t="shared" si="15"/>
        <v/>
      </c>
      <c r="F356" s="40"/>
      <c r="G356" s="29" t="str">
        <f t="shared" si="16"/>
        <v/>
      </c>
      <c r="H356" s="40"/>
      <c r="I356" s="29" t="str">
        <f t="shared" si="17"/>
        <v/>
      </c>
      <c r="J356" s="29"/>
    </row>
    <row r="357" spans="1:10" ht="22.05" customHeight="1" x14ac:dyDescent="0.45">
      <c r="A357" s="39" t="str">
        <f>IF(OR('Ground Schedule'!A75="",'Ground Schedule'!I75=""),"",'Ground Schedule'!A75)</f>
        <v/>
      </c>
      <c r="B357" s="29" t="str">
        <f>IF(A357="","",'Ground Schedule'!C75)</f>
        <v/>
      </c>
      <c r="C357" s="29" t="str">
        <f>IF(A357="","",'Ground Schedule'!I$4)</f>
        <v/>
      </c>
      <c r="D357" s="29" t="str">
        <f>IF(A357="","",'Ground Schedule'!I75)</f>
        <v/>
      </c>
      <c r="E357" s="29" t="str">
        <f t="shared" si="15"/>
        <v/>
      </c>
      <c r="F357" s="40"/>
      <c r="G357" s="29" t="str">
        <f t="shared" si="16"/>
        <v/>
      </c>
      <c r="H357" s="40"/>
      <c r="I357" s="29" t="str">
        <f t="shared" si="17"/>
        <v/>
      </c>
      <c r="J357" s="29"/>
    </row>
    <row r="358" spans="1:10" ht="22.05" customHeight="1" x14ac:dyDescent="0.45">
      <c r="A358" s="39" t="str">
        <f>IF(OR('Ground Schedule'!A75="",'Ground Schedule'!J75=""),"",'Ground Schedule'!A75)</f>
        <v/>
      </c>
      <c r="B358" s="29" t="str">
        <f>IF(A358="","",'Ground Schedule'!C75)</f>
        <v/>
      </c>
      <c r="C358" s="29" t="str">
        <f>IF(A358="","",'Ground Schedule'!J$4)</f>
        <v/>
      </c>
      <c r="D358" s="29" t="str">
        <f>IF(A358="","",'Ground Schedule'!J75)</f>
        <v/>
      </c>
      <c r="E358" s="29" t="str">
        <f t="shared" si="15"/>
        <v/>
      </c>
      <c r="F358" s="40"/>
      <c r="G358" s="29" t="str">
        <f t="shared" si="16"/>
        <v/>
      </c>
      <c r="H358" s="40"/>
      <c r="I358" s="29" t="str">
        <f t="shared" si="17"/>
        <v/>
      </c>
      <c r="J358" s="29"/>
    </row>
    <row r="359" spans="1:10" ht="22.05" customHeight="1" x14ac:dyDescent="0.45">
      <c r="A359" s="39" t="str">
        <f>IF(OR('Ground Schedule'!A76="",'Ground Schedule'!F76=""),"",'Ground Schedule'!A76)</f>
        <v/>
      </c>
      <c r="B359" s="29" t="str">
        <f>IF(A359="","",'Ground Schedule'!C76)</f>
        <v/>
      </c>
      <c r="C359" s="29" t="str">
        <f>IF(A359="","",'Ground Schedule'!F$4)</f>
        <v/>
      </c>
      <c r="D359" s="29" t="str">
        <f>IF(A359="","",'Ground Schedule'!F76)</f>
        <v/>
      </c>
      <c r="E359" s="29" t="str">
        <f t="shared" si="15"/>
        <v/>
      </c>
      <c r="F359" s="40"/>
      <c r="G359" s="29" t="str">
        <f t="shared" si="16"/>
        <v/>
      </c>
      <c r="H359" s="40"/>
      <c r="I359" s="29" t="str">
        <f t="shared" si="17"/>
        <v/>
      </c>
      <c r="J359" s="29"/>
    </row>
    <row r="360" spans="1:10" ht="22.05" customHeight="1" x14ac:dyDescent="0.45">
      <c r="A360" s="39" t="str">
        <f>IF(OR('Ground Schedule'!A76="",'Ground Schedule'!G76=""),"",'Ground Schedule'!A76)</f>
        <v/>
      </c>
      <c r="B360" s="29" t="str">
        <f>IF(A360="","",'Ground Schedule'!C76)</f>
        <v/>
      </c>
      <c r="C360" s="29" t="str">
        <f>IF(A360="","",'Ground Schedule'!G$4)</f>
        <v/>
      </c>
      <c r="D360" s="29" t="str">
        <f>IF(A360="","",'Ground Schedule'!G76)</f>
        <v/>
      </c>
      <c r="E360" s="29" t="str">
        <f t="shared" si="15"/>
        <v/>
      </c>
      <c r="F360" s="40"/>
      <c r="G360" s="29" t="str">
        <f t="shared" si="16"/>
        <v/>
      </c>
      <c r="H360" s="40"/>
      <c r="I360" s="29" t="str">
        <f t="shared" si="17"/>
        <v/>
      </c>
      <c r="J360" s="29"/>
    </row>
    <row r="361" spans="1:10" ht="22.05" customHeight="1" x14ac:dyDescent="0.45">
      <c r="A361" s="39" t="str">
        <f>IF(OR('Ground Schedule'!A76="",'Ground Schedule'!H76=""),"",'Ground Schedule'!A76)</f>
        <v/>
      </c>
      <c r="B361" s="29" t="str">
        <f>IF(A361="","",'Ground Schedule'!C76)</f>
        <v/>
      </c>
      <c r="C361" s="29" t="str">
        <f>IF(A361="","",'Ground Schedule'!H$4)</f>
        <v/>
      </c>
      <c r="D361" s="29" t="str">
        <f>IF(A361="","",'Ground Schedule'!H76)</f>
        <v/>
      </c>
      <c r="E361" s="29" t="str">
        <f t="shared" si="15"/>
        <v/>
      </c>
      <c r="F361" s="40"/>
      <c r="G361" s="29" t="str">
        <f t="shared" si="16"/>
        <v/>
      </c>
      <c r="H361" s="40"/>
      <c r="I361" s="29" t="str">
        <f t="shared" si="17"/>
        <v/>
      </c>
      <c r="J361" s="29"/>
    </row>
    <row r="362" spans="1:10" ht="22.05" customHeight="1" x14ac:dyDescent="0.45">
      <c r="A362" s="39" t="str">
        <f>IF(OR('Ground Schedule'!A76="",'Ground Schedule'!I76=""),"",'Ground Schedule'!A76)</f>
        <v/>
      </c>
      <c r="B362" s="29" t="str">
        <f>IF(A362="","",'Ground Schedule'!C76)</f>
        <v/>
      </c>
      <c r="C362" s="29" t="str">
        <f>IF(A362="","",'Ground Schedule'!I$4)</f>
        <v/>
      </c>
      <c r="D362" s="29" t="str">
        <f>IF(A362="","",'Ground Schedule'!I76)</f>
        <v/>
      </c>
      <c r="E362" s="29" t="str">
        <f t="shared" si="15"/>
        <v/>
      </c>
      <c r="F362" s="40"/>
      <c r="G362" s="29" t="str">
        <f t="shared" si="16"/>
        <v/>
      </c>
      <c r="H362" s="40"/>
      <c r="I362" s="29" t="str">
        <f t="shared" si="17"/>
        <v/>
      </c>
      <c r="J362" s="29"/>
    </row>
    <row r="363" spans="1:10" ht="22.05" customHeight="1" x14ac:dyDescent="0.45">
      <c r="A363" s="39" t="str">
        <f>IF(OR('Ground Schedule'!A76="",'Ground Schedule'!J76=""),"",'Ground Schedule'!A76)</f>
        <v/>
      </c>
      <c r="B363" s="29" t="str">
        <f>IF(A363="","",'Ground Schedule'!C76)</f>
        <v/>
      </c>
      <c r="C363" s="29" t="str">
        <f>IF(A363="","",'Ground Schedule'!J$4)</f>
        <v/>
      </c>
      <c r="D363" s="29" t="str">
        <f>IF(A363="","",'Ground Schedule'!J76)</f>
        <v/>
      </c>
      <c r="E363" s="29" t="str">
        <f t="shared" si="15"/>
        <v/>
      </c>
      <c r="F363" s="40"/>
      <c r="G363" s="29" t="str">
        <f t="shared" si="16"/>
        <v/>
      </c>
      <c r="H363" s="40"/>
      <c r="I363" s="29" t="str">
        <f t="shared" si="17"/>
        <v/>
      </c>
      <c r="J363" s="29"/>
    </row>
    <row r="364" spans="1:10" ht="22.05" customHeight="1" x14ac:dyDescent="0.45">
      <c r="A364" s="39" t="str">
        <f>IF(OR('Ground Schedule'!A77="",'Ground Schedule'!F77=""),"",'Ground Schedule'!A77)</f>
        <v/>
      </c>
      <c r="B364" s="29" t="str">
        <f>IF(A364="","",'Ground Schedule'!C77)</f>
        <v/>
      </c>
      <c r="C364" s="29" t="str">
        <f>IF(A364="","",'Ground Schedule'!F$4)</f>
        <v/>
      </c>
      <c r="D364" s="29" t="str">
        <f>IF(A364="","",'Ground Schedule'!F77)</f>
        <v/>
      </c>
      <c r="E364" s="29" t="str">
        <f t="shared" si="15"/>
        <v/>
      </c>
      <c r="F364" s="40"/>
      <c r="G364" s="29" t="str">
        <f t="shared" si="16"/>
        <v/>
      </c>
      <c r="H364" s="40"/>
      <c r="I364" s="29" t="str">
        <f t="shared" si="17"/>
        <v/>
      </c>
      <c r="J364" s="29"/>
    </row>
    <row r="365" spans="1:10" ht="22.05" customHeight="1" x14ac:dyDescent="0.45">
      <c r="A365" s="39" t="str">
        <f>IF(OR('Ground Schedule'!A77="",'Ground Schedule'!G77=""),"",'Ground Schedule'!A77)</f>
        <v/>
      </c>
      <c r="B365" s="29" t="str">
        <f>IF(A365="","",'Ground Schedule'!C77)</f>
        <v/>
      </c>
      <c r="C365" s="29" t="str">
        <f>IF(A365="","",'Ground Schedule'!G$4)</f>
        <v/>
      </c>
      <c r="D365" s="29" t="str">
        <f>IF(A365="","",'Ground Schedule'!G77)</f>
        <v/>
      </c>
      <c r="E365" s="29" t="str">
        <f t="shared" si="15"/>
        <v/>
      </c>
      <c r="F365" s="40"/>
      <c r="G365" s="29" t="str">
        <f t="shared" si="16"/>
        <v/>
      </c>
      <c r="H365" s="40"/>
      <c r="I365" s="29" t="str">
        <f t="shared" si="17"/>
        <v/>
      </c>
      <c r="J365" s="29"/>
    </row>
    <row r="366" spans="1:10" ht="22.05" customHeight="1" x14ac:dyDescent="0.45">
      <c r="A366" s="39" t="str">
        <f>IF(OR('Ground Schedule'!A77="",'Ground Schedule'!H77=""),"",'Ground Schedule'!A77)</f>
        <v/>
      </c>
      <c r="B366" s="29" t="str">
        <f>IF(A366="","",'Ground Schedule'!C77)</f>
        <v/>
      </c>
      <c r="C366" s="29" t="str">
        <f>IF(A366="","",'Ground Schedule'!H$4)</f>
        <v/>
      </c>
      <c r="D366" s="29" t="str">
        <f>IF(A366="","",'Ground Schedule'!H77)</f>
        <v/>
      </c>
      <c r="E366" s="29" t="str">
        <f t="shared" si="15"/>
        <v/>
      </c>
      <c r="F366" s="40"/>
      <c r="G366" s="29" t="str">
        <f t="shared" si="16"/>
        <v/>
      </c>
      <c r="H366" s="40"/>
      <c r="I366" s="29" t="str">
        <f t="shared" si="17"/>
        <v/>
      </c>
      <c r="J366" s="29"/>
    </row>
    <row r="367" spans="1:10" ht="22.05" customHeight="1" x14ac:dyDescent="0.45">
      <c r="A367" s="39" t="str">
        <f>IF(OR('Ground Schedule'!A77="",'Ground Schedule'!I77=""),"",'Ground Schedule'!A77)</f>
        <v/>
      </c>
      <c r="B367" s="29" t="str">
        <f>IF(A367="","",'Ground Schedule'!C77)</f>
        <v/>
      </c>
      <c r="C367" s="29" t="str">
        <f>IF(A367="","",'Ground Schedule'!I$4)</f>
        <v/>
      </c>
      <c r="D367" s="29" t="str">
        <f>IF(A367="","",'Ground Schedule'!I77)</f>
        <v/>
      </c>
      <c r="E367" s="29" t="str">
        <f t="shared" si="15"/>
        <v/>
      </c>
      <c r="F367" s="40"/>
      <c r="G367" s="29" t="str">
        <f t="shared" si="16"/>
        <v/>
      </c>
      <c r="H367" s="40"/>
      <c r="I367" s="29" t="str">
        <f t="shared" si="17"/>
        <v/>
      </c>
      <c r="J367" s="29"/>
    </row>
    <row r="368" spans="1:10" ht="22.05" customHeight="1" x14ac:dyDescent="0.45">
      <c r="A368" s="39" t="str">
        <f>IF(OR('Ground Schedule'!A77="",'Ground Schedule'!J77=""),"",'Ground Schedule'!A77)</f>
        <v/>
      </c>
      <c r="B368" s="29" t="str">
        <f>IF(A368="","",'Ground Schedule'!C77)</f>
        <v/>
      </c>
      <c r="C368" s="29" t="str">
        <f>IF(A368="","",'Ground Schedule'!J$4)</f>
        <v/>
      </c>
      <c r="D368" s="29" t="str">
        <f>IF(A368="","",'Ground Schedule'!J77)</f>
        <v/>
      </c>
      <c r="E368" s="29" t="str">
        <f t="shared" si="15"/>
        <v/>
      </c>
      <c r="F368" s="40"/>
      <c r="G368" s="29" t="str">
        <f t="shared" si="16"/>
        <v/>
      </c>
      <c r="H368" s="40"/>
      <c r="I368" s="29" t="str">
        <f t="shared" si="17"/>
        <v/>
      </c>
      <c r="J368" s="29"/>
    </row>
    <row r="369" spans="1:10" ht="22.05" customHeight="1" x14ac:dyDescent="0.45">
      <c r="A369" s="39" t="str">
        <f>IF(OR('Ground Schedule'!A78="",'Ground Schedule'!F78=""),"",'Ground Schedule'!A78)</f>
        <v/>
      </c>
      <c r="B369" s="29" t="str">
        <f>IF(A369="","",'Ground Schedule'!C78)</f>
        <v/>
      </c>
      <c r="C369" s="29" t="str">
        <f>IF(A369="","",'Ground Schedule'!F$4)</f>
        <v/>
      </c>
      <c r="D369" s="29" t="str">
        <f>IF(A369="","",'Ground Schedule'!F78)</f>
        <v/>
      </c>
      <c r="E369" s="29" t="str">
        <f t="shared" si="15"/>
        <v/>
      </c>
      <c r="F369" s="40"/>
      <c r="G369" s="29" t="str">
        <f t="shared" si="16"/>
        <v/>
      </c>
      <c r="H369" s="40"/>
      <c r="I369" s="29" t="str">
        <f t="shared" si="17"/>
        <v/>
      </c>
      <c r="J369" s="29"/>
    </row>
    <row r="370" spans="1:10" ht="22.05" customHeight="1" x14ac:dyDescent="0.45">
      <c r="A370" s="39" t="str">
        <f>IF(OR('Ground Schedule'!A78="",'Ground Schedule'!G78=""),"",'Ground Schedule'!A78)</f>
        <v/>
      </c>
      <c r="B370" s="29" t="str">
        <f>IF(A370="","",'Ground Schedule'!C78)</f>
        <v/>
      </c>
      <c r="C370" s="29" t="str">
        <f>IF(A370="","",'Ground Schedule'!G$4)</f>
        <v/>
      </c>
      <c r="D370" s="29" t="str">
        <f>IF(A370="","",'Ground Schedule'!G78)</f>
        <v/>
      </c>
      <c r="E370" s="29" t="str">
        <f t="shared" si="15"/>
        <v/>
      </c>
      <c r="F370" s="40"/>
      <c r="G370" s="29" t="str">
        <f t="shared" si="16"/>
        <v/>
      </c>
      <c r="H370" s="40"/>
      <c r="I370" s="29" t="str">
        <f t="shared" si="17"/>
        <v/>
      </c>
      <c r="J370" s="29"/>
    </row>
    <row r="371" spans="1:10" ht="22.05" customHeight="1" x14ac:dyDescent="0.45">
      <c r="A371" s="39" t="str">
        <f>IF(OR('Ground Schedule'!A78="",'Ground Schedule'!H78=""),"",'Ground Schedule'!A78)</f>
        <v/>
      </c>
      <c r="B371" s="29" t="str">
        <f>IF(A371="","",'Ground Schedule'!C78)</f>
        <v/>
      </c>
      <c r="C371" s="29" t="str">
        <f>IF(A371="","",'Ground Schedule'!H$4)</f>
        <v/>
      </c>
      <c r="D371" s="29" t="str">
        <f>IF(A371="","",'Ground Schedule'!H78)</f>
        <v/>
      </c>
      <c r="E371" s="29" t="str">
        <f t="shared" si="15"/>
        <v/>
      </c>
      <c r="F371" s="40"/>
      <c r="G371" s="29" t="str">
        <f t="shared" si="16"/>
        <v/>
      </c>
      <c r="H371" s="40"/>
      <c r="I371" s="29" t="str">
        <f t="shared" si="17"/>
        <v/>
      </c>
      <c r="J371" s="29"/>
    </row>
    <row r="372" spans="1:10" ht="22.05" customHeight="1" x14ac:dyDescent="0.45">
      <c r="A372" s="39" t="str">
        <f>IF(OR('Ground Schedule'!A78="",'Ground Schedule'!I78=""),"",'Ground Schedule'!A78)</f>
        <v/>
      </c>
      <c r="B372" s="29" t="str">
        <f>IF(A372="","",'Ground Schedule'!C78)</f>
        <v/>
      </c>
      <c r="C372" s="29" t="str">
        <f>IF(A372="","",'Ground Schedule'!I$4)</f>
        <v/>
      </c>
      <c r="D372" s="29" t="str">
        <f>IF(A372="","",'Ground Schedule'!I78)</f>
        <v/>
      </c>
      <c r="E372" s="29" t="str">
        <f t="shared" si="15"/>
        <v/>
      </c>
      <c r="F372" s="40"/>
      <c r="G372" s="29" t="str">
        <f t="shared" si="16"/>
        <v/>
      </c>
      <c r="H372" s="40"/>
      <c r="I372" s="29" t="str">
        <f t="shared" si="17"/>
        <v/>
      </c>
      <c r="J372" s="29"/>
    </row>
    <row r="373" spans="1:10" ht="22.05" customHeight="1" x14ac:dyDescent="0.45">
      <c r="A373" s="39" t="str">
        <f>IF(OR('Ground Schedule'!A78="",'Ground Schedule'!J78=""),"",'Ground Schedule'!A78)</f>
        <v/>
      </c>
      <c r="B373" s="29" t="str">
        <f>IF(A373="","",'Ground Schedule'!C78)</f>
        <v/>
      </c>
      <c r="C373" s="29" t="str">
        <f>IF(A373="","",'Ground Schedule'!J$4)</f>
        <v/>
      </c>
      <c r="D373" s="29" t="str">
        <f>IF(A373="","",'Ground Schedule'!J78)</f>
        <v/>
      </c>
      <c r="E373" s="29" t="str">
        <f t="shared" si="15"/>
        <v/>
      </c>
      <c r="F373" s="40"/>
      <c r="G373" s="29" t="str">
        <f t="shared" si="16"/>
        <v/>
      </c>
      <c r="H373" s="40"/>
      <c r="I373" s="29" t="str">
        <f t="shared" si="17"/>
        <v/>
      </c>
      <c r="J373" s="29"/>
    </row>
    <row r="374" spans="1:10" ht="22.05" customHeight="1" x14ac:dyDescent="0.45">
      <c r="A374" s="39" t="str">
        <f>IF(OR('Ground Schedule'!A79="",'Ground Schedule'!F79=""),"",'Ground Schedule'!A79)</f>
        <v/>
      </c>
      <c r="B374" s="29" t="str">
        <f>IF(A374="","",'Ground Schedule'!C79)</f>
        <v/>
      </c>
      <c r="C374" s="29" t="str">
        <f>IF(A374="","",'Ground Schedule'!F$4)</f>
        <v/>
      </c>
      <c r="D374" s="29" t="str">
        <f>IF(A374="","",'Ground Schedule'!F79)</f>
        <v/>
      </c>
      <c r="E374" s="29" t="str">
        <f t="shared" si="15"/>
        <v/>
      </c>
      <c r="F374" s="40"/>
      <c r="G374" s="29" t="str">
        <f t="shared" si="16"/>
        <v/>
      </c>
      <c r="H374" s="40"/>
      <c r="I374" s="29" t="str">
        <f t="shared" si="17"/>
        <v/>
      </c>
      <c r="J374" s="29"/>
    </row>
    <row r="375" spans="1:10" ht="22.05" customHeight="1" x14ac:dyDescent="0.45">
      <c r="A375" s="39" t="str">
        <f>IF(OR('Ground Schedule'!A79="",'Ground Schedule'!G79=""),"",'Ground Schedule'!A79)</f>
        <v/>
      </c>
      <c r="B375" s="29" t="str">
        <f>IF(A375="","",'Ground Schedule'!C79)</f>
        <v/>
      </c>
      <c r="C375" s="29" t="str">
        <f>IF(A375="","",'Ground Schedule'!G$4)</f>
        <v/>
      </c>
      <c r="D375" s="29" t="str">
        <f>IF(A375="","",'Ground Schedule'!G79)</f>
        <v/>
      </c>
      <c r="E375" s="29" t="str">
        <f t="shared" si="15"/>
        <v/>
      </c>
      <c r="F375" s="40"/>
      <c r="G375" s="29" t="str">
        <f t="shared" si="16"/>
        <v/>
      </c>
      <c r="H375" s="40"/>
      <c r="I375" s="29" t="str">
        <f t="shared" si="17"/>
        <v/>
      </c>
      <c r="J375" s="29"/>
    </row>
    <row r="376" spans="1:10" ht="22.05" customHeight="1" x14ac:dyDescent="0.45">
      <c r="A376" s="39" t="str">
        <f>IF(OR('Ground Schedule'!A79="",'Ground Schedule'!H79=""),"",'Ground Schedule'!A79)</f>
        <v/>
      </c>
      <c r="B376" s="29" t="str">
        <f>IF(A376="","",'Ground Schedule'!C79)</f>
        <v/>
      </c>
      <c r="C376" s="29" t="str">
        <f>IF(A376="","",'Ground Schedule'!H$4)</f>
        <v/>
      </c>
      <c r="D376" s="29" t="str">
        <f>IF(A376="","",'Ground Schedule'!H79)</f>
        <v/>
      </c>
      <c r="E376" s="29" t="str">
        <f t="shared" si="15"/>
        <v/>
      </c>
      <c r="F376" s="40"/>
      <c r="G376" s="29" t="str">
        <f t="shared" si="16"/>
        <v/>
      </c>
      <c r="H376" s="40"/>
      <c r="I376" s="29" t="str">
        <f t="shared" si="17"/>
        <v/>
      </c>
      <c r="J376" s="29"/>
    </row>
    <row r="377" spans="1:10" ht="22.05" customHeight="1" x14ac:dyDescent="0.45">
      <c r="A377" s="39" t="str">
        <f>IF(OR('Ground Schedule'!A79="",'Ground Schedule'!I79=""),"",'Ground Schedule'!A79)</f>
        <v/>
      </c>
      <c r="B377" s="29" t="str">
        <f>IF(A377="","",'Ground Schedule'!C79)</f>
        <v/>
      </c>
      <c r="C377" s="29" t="str">
        <f>IF(A377="","",'Ground Schedule'!I$4)</f>
        <v/>
      </c>
      <c r="D377" s="29" t="str">
        <f>IF(A377="","",'Ground Schedule'!I79)</f>
        <v/>
      </c>
      <c r="E377" s="29" t="str">
        <f t="shared" si="15"/>
        <v/>
      </c>
      <c r="F377" s="40"/>
      <c r="G377" s="29" t="str">
        <f t="shared" si="16"/>
        <v/>
      </c>
      <c r="H377" s="40"/>
      <c r="I377" s="29" t="str">
        <f t="shared" si="17"/>
        <v/>
      </c>
      <c r="J377" s="29"/>
    </row>
    <row r="378" spans="1:10" ht="22.05" customHeight="1" x14ac:dyDescent="0.45">
      <c r="A378" s="39" t="str">
        <f>IF(OR('Ground Schedule'!A79="",'Ground Schedule'!J79=""),"",'Ground Schedule'!A79)</f>
        <v/>
      </c>
      <c r="B378" s="29" t="str">
        <f>IF(A378="","",'Ground Schedule'!C79)</f>
        <v/>
      </c>
      <c r="C378" s="29" t="str">
        <f>IF(A378="","",'Ground Schedule'!J$4)</f>
        <v/>
      </c>
      <c r="D378" s="29" t="str">
        <f>IF(A378="","",'Ground Schedule'!J79)</f>
        <v/>
      </c>
      <c r="E378" s="29" t="str">
        <f t="shared" si="15"/>
        <v/>
      </c>
      <c r="F378" s="40"/>
      <c r="G378" s="29" t="str">
        <f t="shared" si="16"/>
        <v/>
      </c>
      <c r="H378" s="40"/>
      <c r="I378" s="29" t="str">
        <f t="shared" si="17"/>
        <v/>
      </c>
      <c r="J378" s="29"/>
    </row>
    <row r="379" spans="1:10" ht="22.05" customHeight="1" x14ac:dyDescent="0.45">
      <c r="A379" s="39" t="str">
        <f>IF(OR('Ground Schedule'!A80="",'Ground Schedule'!F80=""),"",'Ground Schedule'!A80)</f>
        <v/>
      </c>
      <c r="B379" s="29" t="str">
        <f>IF(A379="","",'Ground Schedule'!C80)</f>
        <v/>
      </c>
      <c r="C379" s="29" t="str">
        <f>IF(A379="","",'Ground Schedule'!F$4)</f>
        <v/>
      </c>
      <c r="D379" s="29" t="str">
        <f>IF(A379="","",'Ground Schedule'!F80)</f>
        <v/>
      </c>
      <c r="E379" s="29" t="str">
        <f t="shared" si="15"/>
        <v/>
      </c>
      <c r="F379" s="40"/>
      <c r="G379" s="29" t="str">
        <f t="shared" si="16"/>
        <v/>
      </c>
      <c r="H379" s="40"/>
      <c r="I379" s="29" t="str">
        <f t="shared" si="17"/>
        <v/>
      </c>
      <c r="J379" s="29"/>
    </row>
    <row r="380" spans="1:10" ht="22.05" customHeight="1" x14ac:dyDescent="0.45">
      <c r="A380" s="39" t="str">
        <f>IF(OR('Ground Schedule'!A80="",'Ground Schedule'!G80=""),"",'Ground Schedule'!A80)</f>
        <v/>
      </c>
      <c r="B380" s="29" t="str">
        <f>IF(A380="","",'Ground Schedule'!C80)</f>
        <v/>
      </c>
      <c r="C380" s="29" t="str">
        <f>IF(A380="","",'Ground Schedule'!G$4)</f>
        <v/>
      </c>
      <c r="D380" s="29" t="str">
        <f>IF(A380="","",'Ground Schedule'!G80)</f>
        <v/>
      </c>
      <c r="E380" s="29" t="str">
        <f t="shared" si="15"/>
        <v/>
      </c>
      <c r="F380" s="40"/>
      <c r="G380" s="29" t="str">
        <f t="shared" si="16"/>
        <v/>
      </c>
      <c r="H380" s="40"/>
      <c r="I380" s="29" t="str">
        <f t="shared" si="17"/>
        <v/>
      </c>
      <c r="J380" s="29"/>
    </row>
    <row r="381" spans="1:10" ht="22.05" customHeight="1" x14ac:dyDescent="0.45">
      <c r="A381" s="39" t="str">
        <f>IF(OR('Ground Schedule'!A80="",'Ground Schedule'!H80=""),"",'Ground Schedule'!A80)</f>
        <v/>
      </c>
      <c r="B381" s="29" t="str">
        <f>IF(A381="","",'Ground Schedule'!C80)</f>
        <v/>
      </c>
      <c r="C381" s="29" t="str">
        <f>IF(A381="","",'Ground Schedule'!H$4)</f>
        <v/>
      </c>
      <c r="D381" s="29" t="str">
        <f>IF(A381="","",'Ground Schedule'!H80)</f>
        <v/>
      </c>
      <c r="E381" s="29" t="str">
        <f t="shared" si="15"/>
        <v/>
      </c>
      <c r="F381" s="40"/>
      <c r="G381" s="29" t="str">
        <f t="shared" si="16"/>
        <v/>
      </c>
      <c r="H381" s="40"/>
      <c r="I381" s="29" t="str">
        <f t="shared" si="17"/>
        <v/>
      </c>
      <c r="J381" s="29"/>
    </row>
    <row r="382" spans="1:10" ht="22.05" customHeight="1" x14ac:dyDescent="0.45">
      <c r="A382" s="39" t="str">
        <f>IF(OR('Ground Schedule'!A80="",'Ground Schedule'!I80=""),"",'Ground Schedule'!A80)</f>
        <v/>
      </c>
      <c r="B382" s="29" t="str">
        <f>IF(A382="","",'Ground Schedule'!C80)</f>
        <v/>
      </c>
      <c r="C382" s="29" t="str">
        <f>IF(A382="","",'Ground Schedule'!I$4)</f>
        <v/>
      </c>
      <c r="D382" s="29" t="str">
        <f>IF(A382="","",'Ground Schedule'!I80)</f>
        <v/>
      </c>
      <c r="E382" s="29" t="str">
        <f t="shared" si="15"/>
        <v/>
      </c>
      <c r="F382" s="40"/>
      <c r="G382" s="29" t="str">
        <f t="shared" si="16"/>
        <v/>
      </c>
      <c r="H382" s="40"/>
      <c r="I382" s="29" t="str">
        <f t="shared" si="17"/>
        <v/>
      </c>
      <c r="J382" s="29"/>
    </row>
    <row r="383" spans="1:10" ht="22.05" customHeight="1" x14ac:dyDescent="0.45">
      <c r="A383" s="39" t="str">
        <f>IF(OR('Ground Schedule'!A80="",'Ground Schedule'!J80=""),"",'Ground Schedule'!A80)</f>
        <v/>
      </c>
      <c r="B383" s="29" t="str">
        <f>IF(A383="","",'Ground Schedule'!C80)</f>
        <v/>
      </c>
      <c r="C383" s="29" t="str">
        <f>IF(A383="","",'Ground Schedule'!J$4)</f>
        <v/>
      </c>
      <c r="D383" s="29" t="str">
        <f>IF(A383="","",'Ground Schedule'!J80)</f>
        <v/>
      </c>
      <c r="E383" s="29" t="str">
        <f t="shared" si="15"/>
        <v/>
      </c>
      <c r="F383" s="40"/>
      <c r="G383" s="29" t="str">
        <f t="shared" si="16"/>
        <v/>
      </c>
      <c r="H383" s="40"/>
      <c r="I383" s="29" t="str">
        <f t="shared" si="17"/>
        <v/>
      </c>
      <c r="J383" s="29"/>
    </row>
    <row r="384" spans="1:10" ht="22.05" customHeight="1" x14ac:dyDescent="0.45">
      <c r="A384" s="39" t="str">
        <f>IF(OR('Ground Schedule'!A81="",'Ground Schedule'!F81=""),"",'Ground Schedule'!A81)</f>
        <v/>
      </c>
      <c r="B384" s="29" t="str">
        <f>IF(A384="","",'Ground Schedule'!C81)</f>
        <v/>
      </c>
      <c r="C384" s="29" t="str">
        <f>IF(A384="","",'Ground Schedule'!F$4)</f>
        <v/>
      </c>
      <c r="D384" s="29" t="str">
        <f>IF(A384="","",'Ground Schedule'!F81)</f>
        <v/>
      </c>
      <c r="E384" s="29" t="str">
        <f t="shared" si="15"/>
        <v/>
      </c>
      <c r="F384" s="40"/>
      <c r="G384" s="29" t="str">
        <f t="shared" si="16"/>
        <v/>
      </c>
      <c r="H384" s="40"/>
      <c r="I384" s="29" t="str">
        <f t="shared" si="17"/>
        <v/>
      </c>
      <c r="J384" s="29"/>
    </row>
    <row r="385" spans="1:10" ht="22.05" customHeight="1" x14ac:dyDescent="0.45">
      <c r="A385" s="39" t="str">
        <f>IF(OR('Ground Schedule'!A81="",'Ground Schedule'!G81=""),"",'Ground Schedule'!A81)</f>
        <v/>
      </c>
      <c r="B385" s="29" t="str">
        <f>IF(A385="","",'Ground Schedule'!C81)</f>
        <v/>
      </c>
      <c r="C385" s="29" t="str">
        <f>IF(A385="","",'Ground Schedule'!G$4)</f>
        <v/>
      </c>
      <c r="D385" s="29" t="str">
        <f>IF(A385="","",'Ground Schedule'!G81)</f>
        <v/>
      </c>
      <c r="E385" s="29" t="str">
        <f t="shared" si="15"/>
        <v/>
      </c>
      <c r="F385" s="40"/>
      <c r="G385" s="29" t="str">
        <f t="shared" si="16"/>
        <v/>
      </c>
      <c r="H385" s="40"/>
      <c r="I385" s="29" t="str">
        <f t="shared" si="17"/>
        <v/>
      </c>
      <c r="J385" s="29"/>
    </row>
    <row r="386" spans="1:10" ht="22.05" customHeight="1" x14ac:dyDescent="0.45">
      <c r="A386" s="39" t="str">
        <f>IF(OR('Ground Schedule'!A81="",'Ground Schedule'!H81=""),"",'Ground Schedule'!A81)</f>
        <v/>
      </c>
      <c r="B386" s="29" t="str">
        <f>IF(A386="","",'Ground Schedule'!C81)</f>
        <v/>
      </c>
      <c r="C386" s="29" t="str">
        <f>IF(A386="","",'Ground Schedule'!H$4)</f>
        <v/>
      </c>
      <c r="D386" s="29" t="str">
        <f>IF(A386="","",'Ground Schedule'!H81)</f>
        <v/>
      </c>
      <c r="E386" s="29" t="str">
        <f t="shared" si="15"/>
        <v/>
      </c>
      <c r="F386" s="40"/>
      <c r="G386" s="29" t="str">
        <f t="shared" si="16"/>
        <v/>
      </c>
      <c r="H386" s="40"/>
      <c r="I386" s="29" t="str">
        <f t="shared" si="17"/>
        <v/>
      </c>
      <c r="J386" s="29"/>
    </row>
    <row r="387" spans="1:10" ht="22.05" customHeight="1" x14ac:dyDescent="0.45">
      <c r="A387" s="39" t="str">
        <f>IF(OR('Ground Schedule'!A81="",'Ground Schedule'!I81=""),"",'Ground Schedule'!A81)</f>
        <v/>
      </c>
      <c r="B387" s="29" t="str">
        <f>IF(A387="","",'Ground Schedule'!C81)</f>
        <v/>
      </c>
      <c r="C387" s="29" t="str">
        <f>IF(A387="","",'Ground Schedule'!I$4)</f>
        <v/>
      </c>
      <c r="D387" s="29" t="str">
        <f>IF(A387="","",'Ground Schedule'!I81)</f>
        <v/>
      </c>
      <c r="E387" s="29" t="str">
        <f t="shared" si="15"/>
        <v/>
      </c>
      <c r="F387" s="40"/>
      <c r="G387" s="29" t="str">
        <f t="shared" si="16"/>
        <v/>
      </c>
      <c r="H387" s="40"/>
      <c r="I387" s="29" t="str">
        <f t="shared" si="17"/>
        <v/>
      </c>
      <c r="J387" s="29"/>
    </row>
    <row r="388" spans="1:10" ht="22.05" customHeight="1" x14ac:dyDescent="0.45">
      <c r="A388" s="39" t="str">
        <f>IF(OR('Ground Schedule'!A81="",'Ground Schedule'!J81=""),"",'Ground Schedule'!A81)</f>
        <v/>
      </c>
      <c r="B388" s="29" t="str">
        <f>IF(A388="","",'Ground Schedule'!C81)</f>
        <v/>
      </c>
      <c r="C388" s="29" t="str">
        <f>IF(A388="","",'Ground Schedule'!J$4)</f>
        <v/>
      </c>
      <c r="D388" s="29" t="str">
        <f>IF(A388="","",'Ground Schedule'!J81)</f>
        <v/>
      </c>
      <c r="E388" s="29" t="str">
        <f t="shared" ref="E388:E451" si="18">IFERROR(TRIM(LEFT(D388,SEARCH(" vs ",D388)-1)),"")</f>
        <v/>
      </c>
      <c r="F388" s="40"/>
      <c r="G388" s="29" t="str">
        <f t="shared" ref="G388:G451" si="19">IFERROR(TRIM(MID(D388,SEARCH(" vs ",D388)+4,LEN(D388))),"")</f>
        <v/>
      </c>
      <c r="H388" s="40"/>
      <c r="I388" s="29" t="str">
        <f t="shared" ref="I388:I451" si="20">IF(OR(E388="",G388=""),"",IF(AND(F388="Paid",H388="Paid"),"Both Paid",IF(AND(OR(F388="Pending",F388=""),OR(H388="Pending",H388="")),"Both Pending",IF(AND(F388="Not Applicable",H388="Not Applicable"),"Not Applicable",IF(OR(F388="Paid",H388="Paid"),"Partially Paid","Pending")))))</f>
        <v/>
      </c>
      <c r="J388" s="29"/>
    </row>
    <row r="389" spans="1:10" ht="22.05" customHeight="1" x14ac:dyDescent="0.45">
      <c r="A389" s="39" t="str">
        <f>IF(OR('Ground Schedule'!A82="",'Ground Schedule'!F82=""),"",'Ground Schedule'!A82)</f>
        <v/>
      </c>
      <c r="B389" s="29" t="str">
        <f>IF(A389="","",'Ground Schedule'!C82)</f>
        <v/>
      </c>
      <c r="C389" s="29" t="str">
        <f>IF(A389="","",'Ground Schedule'!F$4)</f>
        <v/>
      </c>
      <c r="D389" s="29" t="str">
        <f>IF(A389="","",'Ground Schedule'!F82)</f>
        <v/>
      </c>
      <c r="E389" s="29" t="str">
        <f t="shared" si="18"/>
        <v/>
      </c>
      <c r="F389" s="40"/>
      <c r="G389" s="29" t="str">
        <f t="shared" si="19"/>
        <v/>
      </c>
      <c r="H389" s="40"/>
      <c r="I389" s="29" t="str">
        <f t="shared" si="20"/>
        <v/>
      </c>
      <c r="J389" s="29"/>
    </row>
    <row r="390" spans="1:10" ht="22.05" customHeight="1" x14ac:dyDescent="0.45">
      <c r="A390" s="39" t="str">
        <f>IF(OR('Ground Schedule'!A82="",'Ground Schedule'!G82=""),"",'Ground Schedule'!A82)</f>
        <v/>
      </c>
      <c r="B390" s="29" t="str">
        <f>IF(A390="","",'Ground Schedule'!C82)</f>
        <v/>
      </c>
      <c r="C390" s="29" t="str">
        <f>IF(A390="","",'Ground Schedule'!G$4)</f>
        <v/>
      </c>
      <c r="D390" s="29" t="str">
        <f>IF(A390="","",'Ground Schedule'!G82)</f>
        <v/>
      </c>
      <c r="E390" s="29" t="str">
        <f t="shared" si="18"/>
        <v/>
      </c>
      <c r="F390" s="40"/>
      <c r="G390" s="29" t="str">
        <f t="shared" si="19"/>
        <v/>
      </c>
      <c r="H390" s="40"/>
      <c r="I390" s="29" t="str">
        <f t="shared" si="20"/>
        <v/>
      </c>
      <c r="J390" s="29"/>
    </row>
    <row r="391" spans="1:10" ht="22.05" customHeight="1" x14ac:dyDescent="0.45">
      <c r="A391" s="39" t="str">
        <f>IF(OR('Ground Schedule'!A82="",'Ground Schedule'!H82=""),"",'Ground Schedule'!A82)</f>
        <v/>
      </c>
      <c r="B391" s="29" t="str">
        <f>IF(A391="","",'Ground Schedule'!C82)</f>
        <v/>
      </c>
      <c r="C391" s="29" t="str">
        <f>IF(A391="","",'Ground Schedule'!H$4)</f>
        <v/>
      </c>
      <c r="D391" s="29" t="str">
        <f>IF(A391="","",'Ground Schedule'!H82)</f>
        <v/>
      </c>
      <c r="E391" s="29" t="str">
        <f t="shared" si="18"/>
        <v/>
      </c>
      <c r="F391" s="40"/>
      <c r="G391" s="29" t="str">
        <f t="shared" si="19"/>
        <v/>
      </c>
      <c r="H391" s="40"/>
      <c r="I391" s="29" t="str">
        <f t="shared" si="20"/>
        <v/>
      </c>
      <c r="J391" s="29"/>
    </row>
    <row r="392" spans="1:10" ht="22.05" customHeight="1" x14ac:dyDescent="0.45">
      <c r="A392" s="39" t="str">
        <f>IF(OR('Ground Schedule'!A82="",'Ground Schedule'!I82=""),"",'Ground Schedule'!A82)</f>
        <v/>
      </c>
      <c r="B392" s="29" t="str">
        <f>IF(A392="","",'Ground Schedule'!C82)</f>
        <v/>
      </c>
      <c r="C392" s="29" t="str">
        <f>IF(A392="","",'Ground Schedule'!I$4)</f>
        <v/>
      </c>
      <c r="D392" s="29" t="str">
        <f>IF(A392="","",'Ground Schedule'!I82)</f>
        <v/>
      </c>
      <c r="E392" s="29" t="str">
        <f t="shared" si="18"/>
        <v/>
      </c>
      <c r="F392" s="40"/>
      <c r="G392" s="29" t="str">
        <f t="shared" si="19"/>
        <v/>
      </c>
      <c r="H392" s="40"/>
      <c r="I392" s="29" t="str">
        <f t="shared" si="20"/>
        <v/>
      </c>
      <c r="J392" s="29"/>
    </row>
    <row r="393" spans="1:10" ht="22.05" customHeight="1" x14ac:dyDescent="0.45">
      <c r="A393" s="39" t="str">
        <f>IF(OR('Ground Schedule'!A82="",'Ground Schedule'!J82=""),"",'Ground Schedule'!A82)</f>
        <v/>
      </c>
      <c r="B393" s="29" t="str">
        <f>IF(A393="","",'Ground Schedule'!C82)</f>
        <v/>
      </c>
      <c r="C393" s="29" t="str">
        <f>IF(A393="","",'Ground Schedule'!J$4)</f>
        <v/>
      </c>
      <c r="D393" s="29" t="str">
        <f>IF(A393="","",'Ground Schedule'!J82)</f>
        <v/>
      </c>
      <c r="E393" s="29" t="str">
        <f t="shared" si="18"/>
        <v/>
      </c>
      <c r="F393" s="40"/>
      <c r="G393" s="29" t="str">
        <f t="shared" si="19"/>
        <v/>
      </c>
      <c r="H393" s="40"/>
      <c r="I393" s="29" t="str">
        <f t="shared" si="20"/>
        <v/>
      </c>
      <c r="J393" s="29"/>
    </row>
    <row r="394" spans="1:10" ht="22.05" customHeight="1" x14ac:dyDescent="0.45">
      <c r="A394" s="39" t="str">
        <f>IF(OR('Ground Schedule'!A83="",'Ground Schedule'!F83=""),"",'Ground Schedule'!A83)</f>
        <v/>
      </c>
      <c r="B394" s="29" t="str">
        <f>IF(A394="","",'Ground Schedule'!C83)</f>
        <v/>
      </c>
      <c r="C394" s="29" t="str">
        <f>IF(A394="","",'Ground Schedule'!F$4)</f>
        <v/>
      </c>
      <c r="D394" s="29" t="str">
        <f>IF(A394="","",'Ground Schedule'!F83)</f>
        <v/>
      </c>
      <c r="E394" s="29" t="str">
        <f t="shared" si="18"/>
        <v/>
      </c>
      <c r="F394" s="40"/>
      <c r="G394" s="29" t="str">
        <f t="shared" si="19"/>
        <v/>
      </c>
      <c r="H394" s="40"/>
      <c r="I394" s="29" t="str">
        <f t="shared" si="20"/>
        <v/>
      </c>
      <c r="J394" s="29"/>
    </row>
    <row r="395" spans="1:10" ht="22.05" customHeight="1" x14ac:dyDescent="0.45">
      <c r="A395" s="39" t="str">
        <f>IF(OR('Ground Schedule'!A83="",'Ground Schedule'!G83=""),"",'Ground Schedule'!A83)</f>
        <v/>
      </c>
      <c r="B395" s="29" t="str">
        <f>IF(A395="","",'Ground Schedule'!C83)</f>
        <v/>
      </c>
      <c r="C395" s="29" t="str">
        <f>IF(A395="","",'Ground Schedule'!G$4)</f>
        <v/>
      </c>
      <c r="D395" s="29" t="str">
        <f>IF(A395="","",'Ground Schedule'!G83)</f>
        <v/>
      </c>
      <c r="E395" s="29" t="str">
        <f t="shared" si="18"/>
        <v/>
      </c>
      <c r="F395" s="40"/>
      <c r="G395" s="29" t="str">
        <f t="shared" si="19"/>
        <v/>
      </c>
      <c r="H395" s="40"/>
      <c r="I395" s="29" t="str">
        <f t="shared" si="20"/>
        <v/>
      </c>
      <c r="J395" s="29"/>
    </row>
    <row r="396" spans="1:10" ht="22.05" customHeight="1" x14ac:dyDescent="0.45">
      <c r="A396" s="39" t="str">
        <f>IF(OR('Ground Schedule'!A83="",'Ground Schedule'!H83=""),"",'Ground Schedule'!A83)</f>
        <v/>
      </c>
      <c r="B396" s="29" t="str">
        <f>IF(A396="","",'Ground Schedule'!C83)</f>
        <v/>
      </c>
      <c r="C396" s="29" t="str">
        <f>IF(A396="","",'Ground Schedule'!H$4)</f>
        <v/>
      </c>
      <c r="D396" s="29" t="str">
        <f>IF(A396="","",'Ground Schedule'!H83)</f>
        <v/>
      </c>
      <c r="E396" s="29" t="str">
        <f t="shared" si="18"/>
        <v/>
      </c>
      <c r="F396" s="40"/>
      <c r="G396" s="29" t="str">
        <f t="shared" si="19"/>
        <v/>
      </c>
      <c r="H396" s="40"/>
      <c r="I396" s="29" t="str">
        <f t="shared" si="20"/>
        <v/>
      </c>
      <c r="J396" s="29"/>
    </row>
    <row r="397" spans="1:10" ht="22.05" customHeight="1" x14ac:dyDescent="0.45">
      <c r="A397" s="39" t="str">
        <f>IF(OR('Ground Schedule'!A83="",'Ground Schedule'!I83=""),"",'Ground Schedule'!A83)</f>
        <v/>
      </c>
      <c r="B397" s="29" t="str">
        <f>IF(A397="","",'Ground Schedule'!C83)</f>
        <v/>
      </c>
      <c r="C397" s="29" t="str">
        <f>IF(A397="","",'Ground Schedule'!I$4)</f>
        <v/>
      </c>
      <c r="D397" s="29" t="str">
        <f>IF(A397="","",'Ground Schedule'!I83)</f>
        <v/>
      </c>
      <c r="E397" s="29" t="str">
        <f t="shared" si="18"/>
        <v/>
      </c>
      <c r="F397" s="40"/>
      <c r="G397" s="29" t="str">
        <f t="shared" si="19"/>
        <v/>
      </c>
      <c r="H397" s="40"/>
      <c r="I397" s="29" t="str">
        <f t="shared" si="20"/>
        <v/>
      </c>
      <c r="J397" s="29"/>
    </row>
    <row r="398" spans="1:10" ht="22.05" customHeight="1" x14ac:dyDescent="0.45">
      <c r="A398" s="39" t="str">
        <f>IF(OR('Ground Schedule'!A83="",'Ground Schedule'!J83=""),"",'Ground Schedule'!A83)</f>
        <v/>
      </c>
      <c r="B398" s="29" t="str">
        <f>IF(A398="","",'Ground Schedule'!C83)</f>
        <v/>
      </c>
      <c r="C398" s="29" t="str">
        <f>IF(A398="","",'Ground Schedule'!J$4)</f>
        <v/>
      </c>
      <c r="D398" s="29" t="str">
        <f>IF(A398="","",'Ground Schedule'!J83)</f>
        <v/>
      </c>
      <c r="E398" s="29" t="str">
        <f t="shared" si="18"/>
        <v/>
      </c>
      <c r="F398" s="40"/>
      <c r="G398" s="29" t="str">
        <f t="shared" si="19"/>
        <v/>
      </c>
      <c r="H398" s="40"/>
      <c r="I398" s="29" t="str">
        <f t="shared" si="20"/>
        <v/>
      </c>
      <c r="J398" s="29"/>
    </row>
    <row r="399" spans="1:10" ht="22.05" customHeight="1" x14ac:dyDescent="0.45">
      <c r="A399" s="39" t="str">
        <f>IF(OR('Ground Schedule'!A84="",'Ground Schedule'!F84=""),"",'Ground Schedule'!A84)</f>
        <v/>
      </c>
      <c r="B399" s="29" t="str">
        <f>IF(A399="","",'Ground Schedule'!C84)</f>
        <v/>
      </c>
      <c r="C399" s="29" t="str">
        <f>IF(A399="","",'Ground Schedule'!F$4)</f>
        <v/>
      </c>
      <c r="D399" s="29" t="str">
        <f>IF(A399="","",'Ground Schedule'!F84)</f>
        <v/>
      </c>
      <c r="E399" s="29" t="str">
        <f t="shared" si="18"/>
        <v/>
      </c>
      <c r="F399" s="40"/>
      <c r="G399" s="29" t="str">
        <f t="shared" si="19"/>
        <v/>
      </c>
      <c r="H399" s="40"/>
      <c r="I399" s="29" t="str">
        <f t="shared" si="20"/>
        <v/>
      </c>
      <c r="J399" s="29"/>
    </row>
    <row r="400" spans="1:10" ht="22.05" customHeight="1" x14ac:dyDescent="0.45">
      <c r="A400" s="39" t="str">
        <f>IF(OR('Ground Schedule'!A84="",'Ground Schedule'!G84=""),"",'Ground Schedule'!A84)</f>
        <v/>
      </c>
      <c r="B400" s="29" t="str">
        <f>IF(A400="","",'Ground Schedule'!C84)</f>
        <v/>
      </c>
      <c r="C400" s="29" t="str">
        <f>IF(A400="","",'Ground Schedule'!G$4)</f>
        <v/>
      </c>
      <c r="D400" s="29" t="str">
        <f>IF(A400="","",'Ground Schedule'!G84)</f>
        <v/>
      </c>
      <c r="E400" s="29" t="str">
        <f t="shared" si="18"/>
        <v/>
      </c>
      <c r="F400" s="40"/>
      <c r="G400" s="29" t="str">
        <f t="shared" si="19"/>
        <v/>
      </c>
      <c r="H400" s="40"/>
      <c r="I400" s="29" t="str">
        <f t="shared" si="20"/>
        <v/>
      </c>
      <c r="J400" s="29"/>
    </row>
    <row r="401" spans="1:10" ht="22.05" customHeight="1" x14ac:dyDescent="0.45">
      <c r="A401" s="39" t="str">
        <f>IF(OR('Ground Schedule'!A84="",'Ground Schedule'!H84=""),"",'Ground Schedule'!A84)</f>
        <v/>
      </c>
      <c r="B401" s="29" t="str">
        <f>IF(A401="","",'Ground Schedule'!C84)</f>
        <v/>
      </c>
      <c r="C401" s="29" t="str">
        <f>IF(A401="","",'Ground Schedule'!H$4)</f>
        <v/>
      </c>
      <c r="D401" s="29" t="str">
        <f>IF(A401="","",'Ground Schedule'!H84)</f>
        <v/>
      </c>
      <c r="E401" s="29" t="str">
        <f t="shared" si="18"/>
        <v/>
      </c>
      <c r="F401" s="40"/>
      <c r="G401" s="29" t="str">
        <f t="shared" si="19"/>
        <v/>
      </c>
      <c r="H401" s="40"/>
      <c r="I401" s="29" t="str">
        <f t="shared" si="20"/>
        <v/>
      </c>
      <c r="J401" s="29"/>
    </row>
    <row r="402" spans="1:10" ht="22.05" customHeight="1" x14ac:dyDescent="0.45">
      <c r="A402" s="39" t="str">
        <f>IF(OR('Ground Schedule'!A84="",'Ground Schedule'!I84=""),"",'Ground Schedule'!A84)</f>
        <v/>
      </c>
      <c r="B402" s="29" t="str">
        <f>IF(A402="","",'Ground Schedule'!C84)</f>
        <v/>
      </c>
      <c r="C402" s="29" t="str">
        <f>IF(A402="","",'Ground Schedule'!I$4)</f>
        <v/>
      </c>
      <c r="D402" s="29" t="str">
        <f>IF(A402="","",'Ground Schedule'!I84)</f>
        <v/>
      </c>
      <c r="E402" s="29" t="str">
        <f t="shared" si="18"/>
        <v/>
      </c>
      <c r="F402" s="40"/>
      <c r="G402" s="29" t="str">
        <f t="shared" si="19"/>
        <v/>
      </c>
      <c r="H402" s="40"/>
      <c r="I402" s="29" t="str">
        <f t="shared" si="20"/>
        <v/>
      </c>
      <c r="J402" s="29"/>
    </row>
    <row r="403" spans="1:10" ht="22.05" customHeight="1" x14ac:dyDescent="0.45">
      <c r="A403" s="39" t="str">
        <f>IF(OR('Ground Schedule'!A84="",'Ground Schedule'!J84=""),"",'Ground Schedule'!A84)</f>
        <v/>
      </c>
      <c r="B403" s="29" t="str">
        <f>IF(A403="","",'Ground Schedule'!C84)</f>
        <v/>
      </c>
      <c r="C403" s="29" t="str">
        <f>IF(A403="","",'Ground Schedule'!J$4)</f>
        <v/>
      </c>
      <c r="D403" s="29" t="str">
        <f>IF(A403="","",'Ground Schedule'!J84)</f>
        <v/>
      </c>
      <c r="E403" s="29" t="str">
        <f t="shared" si="18"/>
        <v/>
      </c>
      <c r="F403" s="40"/>
      <c r="G403" s="29" t="str">
        <f t="shared" si="19"/>
        <v/>
      </c>
      <c r="H403" s="40"/>
      <c r="I403" s="29" t="str">
        <f t="shared" si="20"/>
        <v/>
      </c>
      <c r="J403" s="29"/>
    </row>
    <row r="404" spans="1:10" ht="22.05" customHeight="1" x14ac:dyDescent="0.45">
      <c r="A404" s="39" t="str">
        <f>IF(OR('Ground Schedule'!A85="",'Ground Schedule'!F85=""),"",'Ground Schedule'!A85)</f>
        <v/>
      </c>
      <c r="B404" s="29" t="str">
        <f>IF(A404="","",'Ground Schedule'!C85)</f>
        <v/>
      </c>
      <c r="C404" s="29" t="str">
        <f>IF(A404="","",'Ground Schedule'!F$4)</f>
        <v/>
      </c>
      <c r="D404" s="29" t="str">
        <f>IF(A404="","",'Ground Schedule'!F85)</f>
        <v/>
      </c>
      <c r="E404" s="29" t="str">
        <f t="shared" si="18"/>
        <v/>
      </c>
      <c r="F404" s="40"/>
      <c r="G404" s="29" t="str">
        <f t="shared" si="19"/>
        <v/>
      </c>
      <c r="H404" s="40"/>
      <c r="I404" s="29" t="str">
        <f t="shared" si="20"/>
        <v/>
      </c>
      <c r="J404" s="29"/>
    </row>
    <row r="405" spans="1:10" ht="22.05" customHeight="1" x14ac:dyDescent="0.45">
      <c r="A405" s="39" t="str">
        <f>IF(OR('Ground Schedule'!A85="",'Ground Schedule'!G85=""),"",'Ground Schedule'!A85)</f>
        <v/>
      </c>
      <c r="B405" s="29" t="str">
        <f>IF(A405="","",'Ground Schedule'!C85)</f>
        <v/>
      </c>
      <c r="C405" s="29" t="str">
        <f>IF(A405="","",'Ground Schedule'!G$4)</f>
        <v/>
      </c>
      <c r="D405" s="29" t="str">
        <f>IF(A405="","",'Ground Schedule'!G85)</f>
        <v/>
      </c>
      <c r="E405" s="29" t="str">
        <f t="shared" si="18"/>
        <v/>
      </c>
      <c r="F405" s="40"/>
      <c r="G405" s="29" t="str">
        <f t="shared" si="19"/>
        <v/>
      </c>
      <c r="H405" s="40"/>
      <c r="I405" s="29" t="str">
        <f t="shared" si="20"/>
        <v/>
      </c>
      <c r="J405" s="29"/>
    </row>
    <row r="406" spans="1:10" ht="22.05" customHeight="1" x14ac:dyDescent="0.45">
      <c r="A406" s="39" t="str">
        <f>IF(OR('Ground Schedule'!A85="",'Ground Schedule'!H85=""),"",'Ground Schedule'!A85)</f>
        <v/>
      </c>
      <c r="B406" s="29" t="str">
        <f>IF(A406="","",'Ground Schedule'!C85)</f>
        <v/>
      </c>
      <c r="C406" s="29" t="str">
        <f>IF(A406="","",'Ground Schedule'!H$4)</f>
        <v/>
      </c>
      <c r="D406" s="29" t="str">
        <f>IF(A406="","",'Ground Schedule'!H85)</f>
        <v/>
      </c>
      <c r="E406" s="29" t="str">
        <f t="shared" si="18"/>
        <v/>
      </c>
      <c r="F406" s="40"/>
      <c r="G406" s="29" t="str">
        <f t="shared" si="19"/>
        <v/>
      </c>
      <c r="H406" s="40"/>
      <c r="I406" s="29" t="str">
        <f t="shared" si="20"/>
        <v/>
      </c>
      <c r="J406" s="29"/>
    </row>
    <row r="407" spans="1:10" ht="22.05" customHeight="1" x14ac:dyDescent="0.45">
      <c r="A407" s="39" t="str">
        <f>IF(OR('Ground Schedule'!A85="",'Ground Schedule'!I85=""),"",'Ground Schedule'!A85)</f>
        <v/>
      </c>
      <c r="B407" s="29" t="str">
        <f>IF(A407="","",'Ground Schedule'!C85)</f>
        <v/>
      </c>
      <c r="C407" s="29" t="str">
        <f>IF(A407="","",'Ground Schedule'!I$4)</f>
        <v/>
      </c>
      <c r="D407" s="29" t="str">
        <f>IF(A407="","",'Ground Schedule'!I85)</f>
        <v/>
      </c>
      <c r="E407" s="29" t="str">
        <f t="shared" si="18"/>
        <v/>
      </c>
      <c r="F407" s="40"/>
      <c r="G407" s="29" t="str">
        <f t="shared" si="19"/>
        <v/>
      </c>
      <c r="H407" s="40"/>
      <c r="I407" s="29" t="str">
        <f t="shared" si="20"/>
        <v/>
      </c>
      <c r="J407" s="29"/>
    </row>
    <row r="408" spans="1:10" ht="22.05" customHeight="1" x14ac:dyDescent="0.45">
      <c r="A408" s="39" t="str">
        <f>IF(OR('Ground Schedule'!A85="",'Ground Schedule'!J85=""),"",'Ground Schedule'!A85)</f>
        <v/>
      </c>
      <c r="B408" s="29" t="str">
        <f>IF(A408="","",'Ground Schedule'!C85)</f>
        <v/>
      </c>
      <c r="C408" s="29" t="str">
        <f>IF(A408="","",'Ground Schedule'!J$4)</f>
        <v/>
      </c>
      <c r="D408" s="29" t="str">
        <f>IF(A408="","",'Ground Schedule'!J85)</f>
        <v/>
      </c>
      <c r="E408" s="29" t="str">
        <f t="shared" si="18"/>
        <v/>
      </c>
      <c r="F408" s="40"/>
      <c r="G408" s="29" t="str">
        <f t="shared" si="19"/>
        <v/>
      </c>
      <c r="H408" s="40"/>
      <c r="I408" s="29" t="str">
        <f t="shared" si="20"/>
        <v/>
      </c>
      <c r="J408" s="29"/>
    </row>
    <row r="409" spans="1:10" ht="22.05" customHeight="1" x14ac:dyDescent="0.45">
      <c r="A409" s="39" t="str">
        <f>IF(OR('Ground Schedule'!A86="",'Ground Schedule'!F86=""),"",'Ground Schedule'!A86)</f>
        <v/>
      </c>
      <c r="B409" s="29" t="str">
        <f>IF(A409="","",'Ground Schedule'!C86)</f>
        <v/>
      </c>
      <c r="C409" s="29" t="str">
        <f>IF(A409="","",'Ground Schedule'!F$4)</f>
        <v/>
      </c>
      <c r="D409" s="29" t="str">
        <f>IF(A409="","",'Ground Schedule'!F86)</f>
        <v/>
      </c>
      <c r="E409" s="29" t="str">
        <f t="shared" si="18"/>
        <v/>
      </c>
      <c r="F409" s="40"/>
      <c r="G409" s="29" t="str">
        <f t="shared" si="19"/>
        <v/>
      </c>
      <c r="H409" s="40"/>
      <c r="I409" s="29" t="str">
        <f t="shared" si="20"/>
        <v/>
      </c>
      <c r="J409" s="29"/>
    </row>
    <row r="410" spans="1:10" ht="22.05" customHeight="1" x14ac:dyDescent="0.45">
      <c r="A410" s="39" t="str">
        <f>IF(OR('Ground Schedule'!A86="",'Ground Schedule'!G86=""),"",'Ground Schedule'!A86)</f>
        <v/>
      </c>
      <c r="B410" s="29" t="str">
        <f>IF(A410="","",'Ground Schedule'!C86)</f>
        <v/>
      </c>
      <c r="C410" s="29" t="str">
        <f>IF(A410="","",'Ground Schedule'!G$4)</f>
        <v/>
      </c>
      <c r="D410" s="29" t="str">
        <f>IF(A410="","",'Ground Schedule'!G86)</f>
        <v/>
      </c>
      <c r="E410" s="29" t="str">
        <f t="shared" si="18"/>
        <v/>
      </c>
      <c r="F410" s="40"/>
      <c r="G410" s="29" t="str">
        <f t="shared" si="19"/>
        <v/>
      </c>
      <c r="H410" s="40"/>
      <c r="I410" s="29" t="str">
        <f t="shared" si="20"/>
        <v/>
      </c>
      <c r="J410" s="29"/>
    </row>
    <row r="411" spans="1:10" ht="22.05" customHeight="1" x14ac:dyDescent="0.45">
      <c r="A411" s="39" t="str">
        <f>IF(OR('Ground Schedule'!A86="",'Ground Schedule'!H86=""),"",'Ground Schedule'!A86)</f>
        <v/>
      </c>
      <c r="B411" s="29" t="str">
        <f>IF(A411="","",'Ground Schedule'!C86)</f>
        <v/>
      </c>
      <c r="C411" s="29" t="str">
        <f>IF(A411="","",'Ground Schedule'!H$4)</f>
        <v/>
      </c>
      <c r="D411" s="29" t="str">
        <f>IF(A411="","",'Ground Schedule'!H86)</f>
        <v/>
      </c>
      <c r="E411" s="29" t="str">
        <f t="shared" si="18"/>
        <v/>
      </c>
      <c r="F411" s="40"/>
      <c r="G411" s="29" t="str">
        <f t="shared" si="19"/>
        <v/>
      </c>
      <c r="H411" s="40"/>
      <c r="I411" s="29" t="str">
        <f t="shared" si="20"/>
        <v/>
      </c>
      <c r="J411" s="29"/>
    </row>
    <row r="412" spans="1:10" ht="22.05" customHeight="1" x14ac:dyDescent="0.45">
      <c r="A412" s="39" t="str">
        <f>IF(OR('Ground Schedule'!A86="",'Ground Schedule'!I86=""),"",'Ground Schedule'!A86)</f>
        <v/>
      </c>
      <c r="B412" s="29" t="str">
        <f>IF(A412="","",'Ground Schedule'!C86)</f>
        <v/>
      </c>
      <c r="C412" s="29" t="str">
        <f>IF(A412="","",'Ground Schedule'!I$4)</f>
        <v/>
      </c>
      <c r="D412" s="29" t="str">
        <f>IF(A412="","",'Ground Schedule'!I86)</f>
        <v/>
      </c>
      <c r="E412" s="29" t="str">
        <f t="shared" si="18"/>
        <v/>
      </c>
      <c r="F412" s="40"/>
      <c r="G412" s="29" t="str">
        <f t="shared" si="19"/>
        <v/>
      </c>
      <c r="H412" s="40"/>
      <c r="I412" s="29" t="str">
        <f t="shared" si="20"/>
        <v/>
      </c>
      <c r="J412" s="29"/>
    </row>
    <row r="413" spans="1:10" ht="22.05" customHeight="1" x14ac:dyDescent="0.45">
      <c r="A413" s="39" t="str">
        <f>IF(OR('Ground Schedule'!A86="",'Ground Schedule'!J86=""),"",'Ground Schedule'!A86)</f>
        <v/>
      </c>
      <c r="B413" s="29" t="str">
        <f>IF(A413="","",'Ground Schedule'!C86)</f>
        <v/>
      </c>
      <c r="C413" s="29" t="str">
        <f>IF(A413="","",'Ground Schedule'!J$4)</f>
        <v/>
      </c>
      <c r="D413" s="29" t="str">
        <f>IF(A413="","",'Ground Schedule'!J86)</f>
        <v/>
      </c>
      <c r="E413" s="29" t="str">
        <f t="shared" si="18"/>
        <v/>
      </c>
      <c r="F413" s="40"/>
      <c r="G413" s="29" t="str">
        <f t="shared" si="19"/>
        <v/>
      </c>
      <c r="H413" s="40"/>
      <c r="I413" s="29" t="str">
        <f t="shared" si="20"/>
        <v/>
      </c>
      <c r="J413" s="29"/>
    </row>
    <row r="414" spans="1:10" ht="22.05" customHeight="1" x14ac:dyDescent="0.45">
      <c r="A414" s="39" t="str">
        <f>IF(OR('Ground Schedule'!A87="",'Ground Schedule'!F87=""),"",'Ground Schedule'!A87)</f>
        <v/>
      </c>
      <c r="B414" s="29" t="str">
        <f>IF(A414="","",'Ground Schedule'!C87)</f>
        <v/>
      </c>
      <c r="C414" s="29" t="str">
        <f>IF(A414="","",'Ground Schedule'!F$4)</f>
        <v/>
      </c>
      <c r="D414" s="29" t="str">
        <f>IF(A414="","",'Ground Schedule'!F87)</f>
        <v/>
      </c>
      <c r="E414" s="29" t="str">
        <f t="shared" si="18"/>
        <v/>
      </c>
      <c r="F414" s="40"/>
      <c r="G414" s="29" t="str">
        <f t="shared" si="19"/>
        <v/>
      </c>
      <c r="H414" s="40"/>
      <c r="I414" s="29" t="str">
        <f t="shared" si="20"/>
        <v/>
      </c>
      <c r="J414" s="29"/>
    </row>
    <row r="415" spans="1:10" ht="22.05" customHeight="1" x14ac:dyDescent="0.45">
      <c r="A415" s="39" t="str">
        <f>IF(OR('Ground Schedule'!A87="",'Ground Schedule'!G87=""),"",'Ground Schedule'!A87)</f>
        <v/>
      </c>
      <c r="B415" s="29" t="str">
        <f>IF(A415="","",'Ground Schedule'!C87)</f>
        <v/>
      </c>
      <c r="C415" s="29" t="str">
        <f>IF(A415="","",'Ground Schedule'!G$4)</f>
        <v/>
      </c>
      <c r="D415" s="29" t="str">
        <f>IF(A415="","",'Ground Schedule'!G87)</f>
        <v/>
      </c>
      <c r="E415" s="29" t="str">
        <f t="shared" si="18"/>
        <v/>
      </c>
      <c r="F415" s="40"/>
      <c r="G415" s="29" t="str">
        <f t="shared" si="19"/>
        <v/>
      </c>
      <c r="H415" s="40"/>
      <c r="I415" s="29" t="str">
        <f t="shared" si="20"/>
        <v/>
      </c>
      <c r="J415" s="29"/>
    </row>
    <row r="416" spans="1:10" ht="22.05" customHeight="1" x14ac:dyDescent="0.45">
      <c r="A416" s="39" t="str">
        <f>IF(OR('Ground Schedule'!A87="",'Ground Schedule'!H87=""),"",'Ground Schedule'!A87)</f>
        <v/>
      </c>
      <c r="B416" s="29" t="str">
        <f>IF(A416="","",'Ground Schedule'!C87)</f>
        <v/>
      </c>
      <c r="C416" s="29" t="str">
        <f>IF(A416="","",'Ground Schedule'!H$4)</f>
        <v/>
      </c>
      <c r="D416" s="29" t="str">
        <f>IF(A416="","",'Ground Schedule'!H87)</f>
        <v/>
      </c>
      <c r="E416" s="29" t="str">
        <f t="shared" si="18"/>
        <v/>
      </c>
      <c r="F416" s="40"/>
      <c r="G416" s="29" t="str">
        <f t="shared" si="19"/>
        <v/>
      </c>
      <c r="H416" s="40"/>
      <c r="I416" s="29" t="str">
        <f t="shared" si="20"/>
        <v/>
      </c>
      <c r="J416" s="29"/>
    </row>
    <row r="417" spans="1:10" ht="22.05" customHeight="1" x14ac:dyDescent="0.45">
      <c r="A417" s="39" t="str">
        <f>IF(OR('Ground Schedule'!A87="",'Ground Schedule'!I87=""),"",'Ground Schedule'!A87)</f>
        <v/>
      </c>
      <c r="B417" s="29" t="str">
        <f>IF(A417="","",'Ground Schedule'!C87)</f>
        <v/>
      </c>
      <c r="C417" s="29" t="str">
        <f>IF(A417="","",'Ground Schedule'!I$4)</f>
        <v/>
      </c>
      <c r="D417" s="29" t="str">
        <f>IF(A417="","",'Ground Schedule'!I87)</f>
        <v/>
      </c>
      <c r="E417" s="29" t="str">
        <f t="shared" si="18"/>
        <v/>
      </c>
      <c r="F417" s="40"/>
      <c r="G417" s="29" t="str">
        <f t="shared" si="19"/>
        <v/>
      </c>
      <c r="H417" s="40"/>
      <c r="I417" s="29" t="str">
        <f t="shared" si="20"/>
        <v/>
      </c>
      <c r="J417" s="29"/>
    </row>
    <row r="418" spans="1:10" ht="22.05" customHeight="1" x14ac:dyDescent="0.45">
      <c r="A418" s="39" t="str">
        <f>IF(OR('Ground Schedule'!A87="",'Ground Schedule'!J87=""),"",'Ground Schedule'!A87)</f>
        <v/>
      </c>
      <c r="B418" s="29" t="str">
        <f>IF(A418="","",'Ground Schedule'!C87)</f>
        <v/>
      </c>
      <c r="C418" s="29" t="str">
        <f>IF(A418="","",'Ground Schedule'!J$4)</f>
        <v/>
      </c>
      <c r="D418" s="29" t="str">
        <f>IF(A418="","",'Ground Schedule'!J87)</f>
        <v/>
      </c>
      <c r="E418" s="29" t="str">
        <f t="shared" si="18"/>
        <v/>
      </c>
      <c r="F418" s="40"/>
      <c r="G418" s="29" t="str">
        <f t="shared" si="19"/>
        <v/>
      </c>
      <c r="H418" s="40"/>
      <c r="I418" s="29" t="str">
        <f t="shared" si="20"/>
        <v/>
      </c>
      <c r="J418" s="29"/>
    </row>
    <row r="419" spans="1:10" ht="22.05" customHeight="1" x14ac:dyDescent="0.45">
      <c r="A419" s="39" t="str">
        <f>IF(OR('Ground Schedule'!A88="",'Ground Schedule'!F88=""),"",'Ground Schedule'!A88)</f>
        <v/>
      </c>
      <c r="B419" s="29" t="str">
        <f>IF(A419="","",'Ground Schedule'!C88)</f>
        <v/>
      </c>
      <c r="C419" s="29" t="str">
        <f>IF(A419="","",'Ground Schedule'!F$4)</f>
        <v/>
      </c>
      <c r="D419" s="29" t="str">
        <f>IF(A419="","",'Ground Schedule'!F88)</f>
        <v/>
      </c>
      <c r="E419" s="29" t="str">
        <f t="shared" si="18"/>
        <v/>
      </c>
      <c r="F419" s="40"/>
      <c r="G419" s="29" t="str">
        <f t="shared" si="19"/>
        <v/>
      </c>
      <c r="H419" s="40"/>
      <c r="I419" s="29" t="str">
        <f t="shared" si="20"/>
        <v/>
      </c>
      <c r="J419" s="29"/>
    </row>
    <row r="420" spans="1:10" ht="22.05" customHeight="1" x14ac:dyDescent="0.45">
      <c r="A420" s="39" t="str">
        <f>IF(OR('Ground Schedule'!A88="",'Ground Schedule'!G88=""),"",'Ground Schedule'!A88)</f>
        <v/>
      </c>
      <c r="B420" s="29" t="str">
        <f>IF(A420="","",'Ground Schedule'!C88)</f>
        <v/>
      </c>
      <c r="C420" s="29" t="str">
        <f>IF(A420="","",'Ground Schedule'!G$4)</f>
        <v/>
      </c>
      <c r="D420" s="29" t="str">
        <f>IF(A420="","",'Ground Schedule'!G88)</f>
        <v/>
      </c>
      <c r="E420" s="29" t="str">
        <f t="shared" si="18"/>
        <v/>
      </c>
      <c r="F420" s="40"/>
      <c r="G420" s="29" t="str">
        <f t="shared" si="19"/>
        <v/>
      </c>
      <c r="H420" s="40"/>
      <c r="I420" s="29" t="str">
        <f t="shared" si="20"/>
        <v/>
      </c>
      <c r="J420" s="29"/>
    </row>
    <row r="421" spans="1:10" ht="22.05" customHeight="1" x14ac:dyDescent="0.45">
      <c r="A421" s="39" t="str">
        <f>IF(OR('Ground Schedule'!A88="",'Ground Schedule'!H88=""),"",'Ground Schedule'!A88)</f>
        <v/>
      </c>
      <c r="B421" s="29" t="str">
        <f>IF(A421="","",'Ground Schedule'!C88)</f>
        <v/>
      </c>
      <c r="C421" s="29" t="str">
        <f>IF(A421="","",'Ground Schedule'!H$4)</f>
        <v/>
      </c>
      <c r="D421" s="29" t="str">
        <f>IF(A421="","",'Ground Schedule'!H88)</f>
        <v/>
      </c>
      <c r="E421" s="29" t="str">
        <f t="shared" si="18"/>
        <v/>
      </c>
      <c r="F421" s="40"/>
      <c r="G421" s="29" t="str">
        <f t="shared" si="19"/>
        <v/>
      </c>
      <c r="H421" s="40"/>
      <c r="I421" s="29" t="str">
        <f t="shared" si="20"/>
        <v/>
      </c>
      <c r="J421" s="29"/>
    </row>
    <row r="422" spans="1:10" ht="22.05" customHeight="1" x14ac:dyDescent="0.45">
      <c r="A422" s="39" t="str">
        <f>IF(OR('Ground Schedule'!A88="",'Ground Schedule'!I88=""),"",'Ground Schedule'!A88)</f>
        <v/>
      </c>
      <c r="B422" s="29" t="str">
        <f>IF(A422="","",'Ground Schedule'!C88)</f>
        <v/>
      </c>
      <c r="C422" s="29" t="str">
        <f>IF(A422="","",'Ground Schedule'!I$4)</f>
        <v/>
      </c>
      <c r="D422" s="29" t="str">
        <f>IF(A422="","",'Ground Schedule'!I88)</f>
        <v/>
      </c>
      <c r="E422" s="29" t="str">
        <f t="shared" si="18"/>
        <v/>
      </c>
      <c r="F422" s="40"/>
      <c r="G422" s="29" t="str">
        <f t="shared" si="19"/>
        <v/>
      </c>
      <c r="H422" s="40"/>
      <c r="I422" s="29" t="str">
        <f t="shared" si="20"/>
        <v/>
      </c>
      <c r="J422" s="29"/>
    </row>
    <row r="423" spans="1:10" ht="22.05" customHeight="1" x14ac:dyDescent="0.45">
      <c r="A423" s="39" t="str">
        <f>IF(OR('Ground Schedule'!A88="",'Ground Schedule'!J88=""),"",'Ground Schedule'!A88)</f>
        <v/>
      </c>
      <c r="B423" s="29" t="str">
        <f>IF(A423="","",'Ground Schedule'!C88)</f>
        <v/>
      </c>
      <c r="C423" s="29" t="str">
        <f>IF(A423="","",'Ground Schedule'!J$4)</f>
        <v/>
      </c>
      <c r="D423" s="29" t="str">
        <f>IF(A423="","",'Ground Schedule'!J88)</f>
        <v/>
      </c>
      <c r="E423" s="29" t="str">
        <f t="shared" si="18"/>
        <v/>
      </c>
      <c r="F423" s="40"/>
      <c r="G423" s="29" t="str">
        <f t="shared" si="19"/>
        <v/>
      </c>
      <c r="H423" s="40"/>
      <c r="I423" s="29" t="str">
        <f t="shared" si="20"/>
        <v/>
      </c>
      <c r="J423" s="29"/>
    </row>
    <row r="424" spans="1:10" ht="22.05" customHeight="1" x14ac:dyDescent="0.45">
      <c r="A424" s="39" t="str">
        <f>IF(OR('Ground Schedule'!A89="",'Ground Schedule'!F89=""),"",'Ground Schedule'!A89)</f>
        <v/>
      </c>
      <c r="B424" s="29" t="str">
        <f>IF(A424="","",'Ground Schedule'!C89)</f>
        <v/>
      </c>
      <c r="C424" s="29" t="str">
        <f>IF(A424="","",'Ground Schedule'!F$4)</f>
        <v/>
      </c>
      <c r="D424" s="29" t="str">
        <f>IF(A424="","",'Ground Schedule'!F89)</f>
        <v/>
      </c>
      <c r="E424" s="29" t="str">
        <f t="shared" si="18"/>
        <v/>
      </c>
      <c r="F424" s="40"/>
      <c r="G424" s="29" t="str">
        <f t="shared" si="19"/>
        <v/>
      </c>
      <c r="H424" s="40"/>
      <c r="I424" s="29" t="str">
        <f t="shared" si="20"/>
        <v/>
      </c>
      <c r="J424" s="29"/>
    </row>
    <row r="425" spans="1:10" ht="22.05" customHeight="1" x14ac:dyDescent="0.45">
      <c r="A425" s="39" t="str">
        <f>IF(OR('Ground Schedule'!A89="",'Ground Schedule'!G89=""),"",'Ground Schedule'!A89)</f>
        <v/>
      </c>
      <c r="B425" s="29" t="str">
        <f>IF(A425="","",'Ground Schedule'!C89)</f>
        <v/>
      </c>
      <c r="C425" s="29" t="str">
        <f>IF(A425="","",'Ground Schedule'!G$4)</f>
        <v/>
      </c>
      <c r="D425" s="29" t="str">
        <f>IF(A425="","",'Ground Schedule'!G89)</f>
        <v/>
      </c>
      <c r="E425" s="29" t="str">
        <f t="shared" si="18"/>
        <v/>
      </c>
      <c r="F425" s="40"/>
      <c r="G425" s="29" t="str">
        <f t="shared" si="19"/>
        <v/>
      </c>
      <c r="H425" s="40"/>
      <c r="I425" s="29" t="str">
        <f t="shared" si="20"/>
        <v/>
      </c>
      <c r="J425" s="29"/>
    </row>
    <row r="426" spans="1:10" ht="22.05" customHeight="1" x14ac:dyDescent="0.45">
      <c r="A426" s="39" t="str">
        <f>IF(OR('Ground Schedule'!A89="",'Ground Schedule'!H89=""),"",'Ground Schedule'!A89)</f>
        <v/>
      </c>
      <c r="B426" s="29" t="str">
        <f>IF(A426="","",'Ground Schedule'!C89)</f>
        <v/>
      </c>
      <c r="C426" s="29" t="str">
        <f>IF(A426="","",'Ground Schedule'!H$4)</f>
        <v/>
      </c>
      <c r="D426" s="29" t="str">
        <f>IF(A426="","",'Ground Schedule'!H89)</f>
        <v/>
      </c>
      <c r="E426" s="29" t="str">
        <f t="shared" si="18"/>
        <v/>
      </c>
      <c r="F426" s="40"/>
      <c r="G426" s="29" t="str">
        <f t="shared" si="19"/>
        <v/>
      </c>
      <c r="H426" s="40"/>
      <c r="I426" s="29" t="str">
        <f t="shared" si="20"/>
        <v/>
      </c>
      <c r="J426" s="29"/>
    </row>
    <row r="427" spans="1:10" ht="22.05" customHeight="1" x14ac:dyDescent="0.45">
      <c r="A427" s="39" t="str">
        <f>IF(OR('Ground Schedule'!A89="",'Ground Schedule'!I89=""),"",'Ground Schedule'!A89)</f>
        <v/>
      </c>
      <c r="B427" s="29" t="str">
        <f>IF(A427="","",'Ground Schedule'!C89)</f>
        <v/>
      </c>
      <c r="C427" s="29" t="str">
        <f>IF(A427="","",'Ground Schedule'!I$4)</f>
        <v/>
      </c>
      <c r="D427" s="29" t="str">
        <f>IF(A427="","",'Ground Schedule'!I89)</f>
        <v/>
      </c>
      <c r="E427" s="29" t="str">
        <f t="shared" si="18"/>
        <v/>
      </c>
      <c r="F427" s="40"/>
      <c r="G427" s="29" t="str">
        <f t="shared" si="19"/>
        <v/>
      </c>
      <c r="H427" s="40"/>
      <c r="I427" s="29" t="str">
        <f t="shared" si="20"/>
        <v/>
      </c>
      <c r="J427" s="29"/>
    </row>
    <row r="428" spans="1:10" ht="22.05" customHeight="1" x14ac:dyDescent="0.45">
      <c r="A428" s="39" t="str">
        <f>IF(OR('Ground Schedule'!A89="",'Ground Schedule'!J89=""),"",'Ground Schedule'!A89)</f>
        <v/>
      </c>
      <c r="B428" s="29" t="str">
        <f>IF(A428="","",'Ground Schedule'!C89)</f>
        <v/>
      </c>
      <c r="C428" s="29" t="str">
        <f>IF(A428="","",'Ground Schedule'!J$4)</f>
        <v/>
      </c>
      <c r="D428" s="29" t="str">
        <f>IF(A428="","",'Ground Schedule'!J89)</f>
        <v/>
      </c>
      <c r="E428" s="29" t="str">
        <f t="shared" si="18"/>
        <v/>
      </c>
      <c r="F428" s="40"/>
      <c r="G428" s="29" t="str">
        <f t="shared" si="19"/>
        <v/>
      </c>
      <c r="H428" s="40"/>
      <c r="I428" s="29" t="str">
        <f t="shared" si="20"/>
        <v/>
      </c>
      <c r="J428" s="29"/>
    </row>
    <row r="429" spans="1:10" ht="22.05" customHeight="1" x14ac:dyDescent="0.45">
      <c r="A429" s="39" t="str">
        <f>IF(OR('Ground Schedule'!A90="",'Ground Schedule'!F90=""),"",'Ground Schedule'!A90)</f>
        <v/>
      </c>
      <c r="B429" s="29" t="str">
        <f>IF(A429="","",'Ground Schedule'!C90)</f>
        <v/>
      </c>
      <c r="C429" s="29" t="str">
        <f>IF(A429="","",'Ground Schedule'!F$4)</f>
        <v/>
      </c>
      <c r="D429" s="29" t="str">
        <f>IF(A429="","",'Ground Schedule'!F90)</f>
        <v/>
      </c>
      <c r="E429" s="29" t="str">
        <f t="shared" si="18"/>
        <v/>
      </c>
      <c r="F429" s="40"/>
      <c r="G429" s="29" t="str">
        <f t="shared" si="19"/>
        <v/>
      </c>
      <c r="H429" s="40"/>
      <c r="I429" s="29" t="str">
        <f t="shared" si="20"/>
        <v/>
      </c>
      <c r="J429" s="29"/>
    </row>
    <row r="430" spans="1:10" ht="22.05" customHeight="1" x14ac:dyDescent="0.45">
      <c r="A430" s="39" t="str">
        <f>IF(OR('Ground Schedule'!A90="",'Ground Schedule'!G90=""),"",'Ground Schedule'!A90)</f>
        <v/>
      </c>
      <c r="B430" s="29" t="str">
        <f>IF(A430="","",'Ground Schedule'!C90)</f>
        <v/>
      </c>
      <c r="C430" s="29" t="str">
        <f>IF(A430="","",'Ground Schedule'!G$4)</f>
        <v/>
      </c>
      <c r="D430" s="29" t="str">
        <f>IF(A430="","",'Ground Schedule'!G90)</f>
        <v/>
      </c>
      <c r="E430" s="29" t="str">
        <f t="shared" si="18"/>
        <v/>
      </c>
      <c r="F430" s="40"/>
      <c r="G430" s="29" t="str">
        <f t="shared" si="19"/>
        <v/>
      </c>
      <c r="H430" s="40"/>
      <c r="I430" s="29" t="str">
        <f t="shared" si="20"/>
        <v/>
      </c>
      <c r="J430" s="29"/>
    </row>
    <row r="431" spans="1:10" ht="22.05" customHeight="1" x14ac:dyDescent="0.45">
      <c r="A431" s="39" t="str">
        <f>IF(OR('Ground Schedule'!A90="",'Ground Schedule'!H90=""),"",'Ground Schedule'!A90)</f>
        <v/>
      </c>
      <c r="B431" s="29" t="str">
        <f>IF(A431="","",'Ground Schedule'!C90)</f>
        <v/>
      </c>
      <c r="C431" s="29" t="str">
        <f>IF(A431="","",'Ground Schedule'!H$4)</f>
        <v/>
      </c>
      <c r="D431" s="29" t="str">
        <f>IF(A431="","",'Ground Schedule'!H90)</f>
        <v/>
      </c>
      <c r="E431" s="29" t="str">
        <f t="shared" si="18"/>
        <v/>
      </c>
      <c r="F431" s="40"/>
      <c r="G431" s="29" t="str">
        <f t="shared" si="19"/>
        <v/>
      </c>
      <c r="H431" s="40"/>
      <c r="I431" s="29" t="str">
        <f t="shared" si="20"/>
        <v/>
      </c>
      <c r="J431" s="29"/>
    </row>
    <row r="432" spans="1:10" ht="22.05" customHeight="1" x14ac:dyDescent="0.45">
      <c r="A432" s="39" t="str">
        <f>IF(OR('Ground Schedule'!A90="",'Ground Schedule'!I90=""),"",'Ground Schedule'!A90)</f>
        <v/>
      </c>
      <c r="B432" s="29" t="str">
        <f>IF(A432="","",'Ground Schedule'!C90)</f>
        <v/>
      </c>
      <c r="C432" s="29" t="str">
        <f>IF(A432="","",'Ground Schedule'!I$4)</f>
        <v/>
      </c>
      <c r="D432" s="29" t="str">
        <f>IF(A432="","",'Ground Schedule'!I90)</f>
        <v/>
      </c>
      <c r="E432" s="29" t="str">
        <f t="shared" si="18"/>
        <v/>
      </c>
      <c r="F432" s="40"/>
      <c r="G432" s="29" t="str">
        <f t="shared" si="19"/>
        <v/>
      </c>
      <c r="H432" s="40"/>
      <c r="I432" s="29" t="str">
        <f t="shared" si="20"/>
        <v/>
      </c>
      <c r="J432" s="29"/>
    </row>
    <row r="433" spans="1:10" ht="22.05" customHeight="1" x14ac:dyDescent="0.45">
      <c r="A433" s="39" t="str">
        <f>IF(OR('Ground Schedule'!A90="",'Ground Schedule'!J90=""),"",'Ground Schedule'!A90)</f>
        <v/>
      </c>
      <c r="B433" s="29" t="str">
        <f>IF(A433="","",'Ground Schedule'!C90)</f>
        <v/>
      </c>
      <c r="C433" s="29" t="str">
        <f>IF(A433="","",'Ground Schedule'!J$4)</f>
        <v/>
      </c>
      <c r="D433" s="29" t="str">
        <f>IF(A433="","",'Ground Schedule'!J90)</f>
        <v/>
      </c>
      <c r="E433" s="29" t="str">
        <f t="shared" si="18"/>
        <v/>
      </c>
      <c r="F433" s="40"/>
      <c r="G433" s="29" t="str">
        <f t="shared" si="19"/>
        <v/>
      </c>
      <c r="H433" s="40"/>
      <c r="I433" s="29" t="str">
        <f t="shared" si="20"/>
        <v/>
      </c>
      <c r="J433" s="29"/>
    </row>
    <row r="434" spans="1:10" ht="22.05" customHeight="1" x14ac:dyDescent="0.45">
      <c r="A434" s="39" t="str">
        <f>IF(OR('Ground Schedule'!A91="",'Ground Schedule'!F91=""),"",'Ground Schedule'!A91)</f>
        <v/>
      </c>
      <c r="B434" s="29" t="str">
        <f>IF(A434="","",'Ground Schedule'!C91)</f>
        <v/>
      </c>
      <c r="C434" s="29" t="str">
        <f>IF(A434="","",'Ground Schedule'!F$4)</f>
        <v/>
      </c>
      <c r="D434" s="29" t="str">
        <f>IF(A434="","",'Ground Schedule'!F91)</f>
        <v/>
      </c>
      <c r="E434" s="29" t="str">
        <f t="shared" si="18"/>
        <v/>
      </c>
      <c r="F434" s="40"/>
      <c r="G434" s="29" t="str">
        <f t="shared" si="19"/>
        <v/>
      </c>
      <c r="H434" s="40"/>
      <c r="I434" s="29" t="str">
        <f t="shared" si="20"/>
        <v/>
      </c>
      <c r="J434" s="29"/>
    </row>
    <row r="435" spans="1:10" ht="22.05" customHeight="1" x14ac:dyDescent="0.45">
      <c r="A435" s="39" t="str">
        <f>IF(OR('Ground Schedule'!A91="",'Ground Schedule'!G91=""),"",'Ground Schedule'!A91)</f>
        <v/>
      </c>
      <c r="B435" s="29" t="str">
        <f>IF(A435="","",'Ground Schedule'!C91)</f>
        <v/>
      </c>
      <c r="C435" s="29" t="str">
        <f>IF(A435="","",'Ground Schedule'!G$4)</f>
        <v/>
      </c>
      <c r="D435" s="29" t="str">
        <f>IF(A435="","",'Ground Schedule'!G91)</f>
        <v/>
      </c>
      <c r="E435" s="29" t="str">
        <f t="shared" si="18"/>
        <v/>
      </c>
      <c r="F435" s="40"/>
      <c r="G435" s="29" t="str">
        <f t="shared" si="19"/>
        <v/>
      </c>
      <c r="H435" s="40"/>
      <c r="I435" s="29" t="str">
        <f t="shared" si="20"/>
        <v/>
      </c>
      <c r="J435" s="29"/>
    </row>
    <row r="436" spans="1:10" ht="22.05" customHeight="1" x14ac:dyDescent="0.45">
      <c r="A436" s="39" t="str">
        <f>IF(OR('Ground Schedule'!A91="",'Ground Schedule'!H91=""),"",'Ground Schedule'!A91)</f>
        <v/>
      </c>
      <c r="B436" s="29" t="str">
        <f>IF(A436="","",'Ground Schedule'!C91)</f>
        <v/>
      </c>
      <c r="C436" s="29" t="str">
        <f>IF(A436="","",'Ground Schedule'!H$4)</f>
        <v/>
      </c>
      <c r="D436" s="29" t="str">
        <f>IF(A436="","",'Ground Schedule'!H91)</f>
        <v/>
      </c>
      <c r="E436" s="29" t="str">
        <f t="shared" si="18"/>
        <v/>
      </c>
      <c r="F436" s="40"/>
      <c r="G436" s="29" t="str">
        <f t="shared" si="19"/>
        <v/>
      </c>
      <c r="H436" s="40"/>
      <c r="I436" s="29" t="str">
        <f t="shared" si="20"/>
        <v/>
      </c>
      <c r="J436" s="29"/>
    </row>
    <row r="437" spans="1:10" ht="22.05" customHeight="1" x14ac:dyDescent="0.45">
      <c r="A437" s="39" t="str">
        <f>IF(OR('Ground Schedule'!A91="",'Ground Schedule'!I91=""),"",'Ground Schedule'!A91)</f>
        <v/>
      </c>
      <c r="B437" s="29" t="str">
        <f>IF(A437="","",'Ground Schedule'!C91)</f>
        <v/>
      </c>
      <c r="C437" s="29" t="str">
        <f>IF(A437="","",'Ground Schedule'!I$4)</f>
        <v/>
      </c>
      <c r="D437" s="29" t="str">
        <f>IF(A437="","",'Ground Schedule'!I91)</f>
        <v/>
      </c>
      <c r="E437" s="29" t="str">
        <f t="shared" si="18"/>
        <v/>
      </c>
      <c r="F437" s="40"/>
      <c r="G437" s="29" t="str">
        <f t="shared" si="19"/>
        <v/>
      </c>
      <c r="H437" s="40"/>
      <c r="I437" s="29" t="str">
        <f t="shared" si="20"/>
        <v/>
      </c>
      <c r="J437" s="29"/>
    </row>
    <row r="438" spans="1:10" ht="22.05" customHeight="1" x14ac:dyDescent="0.45">
      <c r="A438" s="39" t="str">
        <f>IF(OR('Ground Schedule'!A91="",'Ground Schedule'!J91=""),"",'Ground Schedule'!A91)</f>
        <v/>
      </c>
      <c r="B438" s="29" t="str">
        <f>IF(A438="","",'Ground Schedule'!C91)</f>
        <v/>
      </c>
      <c r="C438" s="29" t="str">
        <f>IF(A438="","",'Ground Schedule'!J$4)</f>
        <v/>
      </c>
      <c r="D438" s="29" t="str">
        <f>IF(A438="","",'Ground Schedule'!J91)</f>
        <v/>
      </c>
      <c r="E438" s="29" t="str">
        <f t="shared" si="18"/>
        <v/>
      </c>
      <c r="F438" s="40"/>
      <c r="G438" s="29" t="str">
        <f t="shared" si="19"/>
        <v/>
      </c>
      <c r="H438" s="40"/>
      <c r="I438" s="29" t="str">
        <f t="shared" si="20"/>
        <v/>
      </c>
      <c r="J438" s="29"/>
    </row>
    <row r="439" spans="1:10" ht="22.05" customHeight="1" x14ac:dyDescent="0.45">
      <c r="A439" s="39" t="str">
        <f>IF(OR('Ground Schedule'!A92="",'Ground Schedule'!F92=""),"",'Ground Schedule'!A92)</f>
        <v/>
      </c>
      <c r="B439" s="29" t="str">
        <f>IF(A439="","",'Ground Schedule'!C92)</f>
        <v/>
      </c>
      <c r="C439" s="29" t="str">
        <f>IF(A439="","",'Ground Schedule'!F$4)</f>
        <v/>
      </c>
      <c r="D439" s="29" t="str">
        <f>IF(A439="","",'Ground Schedule'!F92)</f>
        <v/>
      </c>
      <c r="E439" s="29" t="str">
        <f t="shared" si="18"/>
        <v/>
      </c>
      <c r="F439" s="40"/>
      <c r="G439" s="29" t="str">
        <f t="shared" si="19"/>
        <v/>
      </c>
      <c r="H439" s="40"/>
      <c r="I439" s="29" t="str">
        <f t="shared" si="20"/>
        <v/>
      </c>
      <c r="J439" s="29"/>
    </row>
    <row r="440" spans="1:10" ht="22.05" customHeight="1" x14ac:dyDescent="0.45">
      <c r="A440" s="39" t="str">
        <f>IF(OR('Ground Schedule'!A92="",'Ground Schedule'!G92=""),"",'Ground Schedule'!A92)</f>
        <v/>
      </c>
      <c r="B440" s="29" t="str">
        <f>IF(A440="","",'Ground Schedule'!C92)</f>
        <v/>
      </c>
      <c r="C440" s="29" t="str">
        <f>IF(A440="","",'Ground Schedule'!G$4)</f>
        <v/>
      </c>
      <c r="D440" s="29" t="str">
        <f>IF(A440="","",'Ground Schedule'!G92)</f>
        <v/>
      </c>
      <c r="E440" s="29" t="str">
        <f t="shared" si="18"/>
        <v/>
      </c>
      <c r="F440" s="40"/>
      <c r="G440" s="29" t="str">
        <f t="shared" si="19"/>
        <v/>
      </c>
      <c r="H440" s="40"/>
      <c r="I440" s="29" t="str">
        <f t="shared" si="20"/>
        <v/>
      </c>
      <c r="J440" s="29"/>
    </row>
    <row r="441" spans="1:10" ht="22.05" customHeight="1" x14ac:dyDescent="0.45">
      <c r="A441" s="39" t="str">
        <f>IF(OR('Ground Schedule'!A92="",'Ground Schedule'!H92=""),"",'Ground Schedule'!A92)</f>
        <v/>
      </c>
      <c r="B441" s="29" t="str">
        <f>IF(A441="","",'Ground Schedule'!C92)</f>
        <v/>
      </c>
      <c r="C441" s="29" t="str">
        <f>IF(A441="","",'Ground Schedule'!H$4)</f>
        <v/>
      </c>
      <c r="D441" s="29" t="str">
        <f>IF(A441="","",'Ground Schedule'!H92)</f>
        <v/>
      </c>
      <c r="E441" s="29" t="str">
        <f t="shared" si="18"/>
        <v/>
      </c>
      <c r="F441" s="40"/>
      <c r="G441" s="29" t="str">
        <f t="shared" si="19"/>
        <v/>
      </c>
      <c r="H441" s="40"/>
      <c r="I441" s="29" t="str">
        <f t="shared" si="20"/>
        <v/>
      </c>
      <c r="J441" s="29"/>
    </row>
    <row r="442" spans="1:10" ht="22.05" customHeight="1" x14ac:dyDescent="0.45">
      <c r="A442" s="39" t="str">
        <f>IF(OR('Ground Schedule'!A92="",'Ground Schedule'!I92=""),"",'Ground Schedule'!A92)</f>
        <v/>
      </c>
      <c r="B442" s="29" t="str">
        <f>IF(A442="","",'Ground Schedule'!C92)</f>
        <v/>
      </c>
      <c r="C442" s="29" t="str">
        <f>IF(A442="","",'Ground Schedule'!I$4)</f>
        <v/>
      </c>
      <c r="D442" s="29" t="str">
        <f>IF(A442="","",'Ground Schedule'!I92)</f>
        <v/>
      </c>
      <c r="E442" s="29" t="str">
        <f t="shared" si="18"/>
        <v/>
      </c>
      <c r="F442" s="40"/>
      <c r="G442" s="29" t="str">
        <f t="shared" si="19"/>
        <v/>
      </c>
      <c r="H442" s="40"/>
      <c r="I442" s="29" t="str">
        <f t="shared" si="20"/>
        <v/>
      </c>
      <c r="J442" s="29"/>
    </row>
    <row r="443" spans="1:10" ht="22.05" customHeight="1" x14ac:dyDescent="0.45">
      <c r="A443" s="39" t="str">
        <f>IF(OR('Ground Schedule'!A92="",'Ground Schedule'!J92=""),"",'Ground Schedule'!A92)</f>
        <v/>
      </c>
      <c r="B443" s="29" t="str">
        <f>IF(A443="","",'Ground Schedule'!C92)</f>
        <v/>
      </c>
      <c r="C443" s="29" t="str">
        <f>IF(A443="","",'Ground Schedule'!J$4)</f>
        <v/>
      </c>
      <c r="D443" s="29" t="str">
        <f>IF(A443="","",'Ground Schedule'!J92)</f>
        <v/>
      </c>
      <c r="E443" s="29" t="str">
        <f t="shared" si="18"/>
        <v/>
      </c>
      <c r="F443" s="40"/>
      <c r="G443" s="29" t="str">
        <f t="shared" si="19"/>
        <v/>
      </c>
      <c r="H443" s="40"/>
      <c r="I443" s="29" t="str">
        <f t="shared" si="20"/>
        <v/>
      </c>
      <c r="J443" s="29"/>
    </row>
    <row r="444" spans="1:10" ht="22.05" customHeight="1" x14ac:dyDescent="0.45">
      <c r="A444" s="39" t="str">
        <f>IF(OR('Ground Schedule'!A93="",'Ground Schedule'!F93=""),"",'Ground Schedule'!A93)</f>
        <v/>
      </c>
      <c r="B444" s="29" t="str">
        <f>IF(A444="","",'Ground Schedule'!C93)</f>
        <v/>
      </c>
      <c r="C444" s="29" t="str">
        <f>IF(A444="","",'Ground Schedule'!F$4)</f>
        <v/>
      </c>
      <c r="D444" s="29" t="str">
        <f>IF(A444="","",'Ground Schedule'!F93)</f>
        <v/>
      </c>
      <c r="E444" s="29" t="str">
        <f t="shared" si="18"/>
        <v/>
      </c>
      <c r="F444" s="40"/>
      <c r="G444" s="29" t="str">
        <f t="shared" si="19"/>
        <v/>
      </c>
      <c r="H444" s="40"/>
      <c r="I444" s="29" t="str">
        <f t="shared" si="20"/>
        <v/>
      </c>
      <c r="J444" s="29"/>
    </row>
    <row r="445" spans="1:10" ht="22.05" customHeight="1" x14ac:dyDescent="0.45">
      <c r="A445" s="39" t="str">
        <f>IF(OR('Ground Schedule'!A93="",'Ground Schedule'!G93=""),"",'Ground Schedule'!A93)</f>
        <v/>
      </c>
      <c r="B445" s="29" t="str">
        <f>IF(A445="","",'Ground Schedule'!C93)</f>
        <v/>
      </c>
      <c r="C445" s="29" t="str">
        <f>IF(A445="","",'Ground Schedule'!G$4)</f>
        <v/>
      </c>
      <c r="D445" s="29" t="str">
        <f>IF(A445="","",'Ground Schedule'!G93)</f>
        <v/>
      </c>
      <c r="E445" s="29" t="str">
        <f t="shared" si="18"/>
        <v/>
      </c>
      <c r="F445" s="40"/>
      <c r="G445" s="29" t="str">
        <f t="shared" si="19"/>
        <v/>
      </c>
      <c r="H445" s="40"/>
      <c r="I445" s="29" t="str">
        <f t="shared" si="20"/>
        <v/>
      </c>
      <c r="J445" s="29"/>
    </row>
    <row r="446" spans="1:10" ht="22.05" customHeight="1" x14ac:dyDescent="0.45">
      <c r="A446" s="39" t="str">
        <f>IF(OR('Ground Schedule'!A93="",'Ground Schedule'!H93=""),"",'Ground Schedule'!A93)</f>
        <v/>
      </c>
      <c r="B446" s="29" t="str">
        <f>IF(A446="","",'Ground Schedule'!C93)</f>
        <v/>
      </c>
      <c r="C446" s="29" t="str">
        <f>IF(A446="","",'Ground Schedule'!H$4)</f>
        <v/>
      </c>
      <c r="D446" s="29" t="str">
        <f>IF(A446="","",'Ground Schedule'!H93)</f>
        <v/>
      </c>
      <c r="E446" s="29" t="str">
        <f t="shared" si="18"/>
        <v/>
      </c>
      <c r="F446" s="40"/>
      <c r="G446" s="29" t="str">
        <f t="shared" si="19"/>
        <v/>
      </c>
      <c r="H446" s="40"/>
      <c r="I446" s="29" t="str">
        <f t="shared" si="20"/>
        <v/>
      </c>
      <c r="J446" s="29"/>
    </row>
    <row r="447" spans="1:10" ht="22.05" customHeight="1" x14ac:dyDescent="0.45">
      <c r="A447" s="39" t="str">
        <f>IF(OR('Ground Schedule'!A93="",'Ground Schedule'!I93=""),"",'Ground Schedule'!A93)</f>
        <v/>
      </c>
      <c r="B447" s="29" t="str">
        <f>IF(A447="","",'Ground Schedule'!C93)</f>
        <v/>
      </c>
      <c r="C447" s="29" t="str">
        <f>IF(A447="","",'Ground Schedule'!I$4)</f>
        <v/>
      </c>
      <c r="D447" s="29" t="str">
        <f>IF(A447="","",'Ground Schedule'!I93)</f>
        <v/>
      </c>
      <c r="E447" s="29" t="str">
        <f t="shared" si="18"/>
        <v/>
      </c>
      <c r="F447" s="40"/>
      <c r="G447" s="29" t="str">
        <f t="shared" si="19"/>
        <v/>
      </c>
      <c r="H447" s="40"/>
      <c r="I447" s="29" t="str">
        <f t="shared" si="20"/>
        <v/>
      </c>
      <c r="J447" s="29"/>
    </row>
    <row r="448" spans="1:10" ht="22.05" customHeight="1" x14ac:dyDescent="0.45">
      <c r="A448" s="39" t="str">
        <f>IF(OR('Ground Schedule'!A93="",'Ground Schedule'!J93=""),"",'Ground Schedule'!A93)</f>
        <v/>
      </c>
      <c r="B448" s="29" t="str">
        <f>IF(A448="","",'Ground Schedule'!C93)</f>
        <v/>
      </c>
      <c r="C448" s="29" t="str">
        <f>IF(A448="","",'Ground Schedule'!J$4)</f>
        <v/>
      </c>
      <c r="D448" s="29" t="str">
        <f>IF(A448="","",'Ground Schedule'!J93)</f>
        <v/>
      </c>
      <c r="E448" s="29" t="str">
        <f t="shared" si="18"/>
        <v/>
      </c>
      <c r="F448" s="40"/>
      <c r="G448" s="29" t="str">
        <f t="shared" si="19"/>
        <v/>
      </c>
      <c r="H448" s="40"/>
      <c r="I448" s="29" t="str">
        <f t="shared" si="20"/>
        <v/>
      </c>
      <c r="J448" s="29"/>
    </row>
    <row r="449" spans="1:10" ht="22.05" customHeight="1" x14ac:dyDescent="0.45">
      <c r="A449" s="39" t="str">
        <f>IF(OR('Ground Schedule'!A94="",'Ground Schedule'!F94=""),"",'Ground Schedule'!A94)</f>
        <v/>
      </c>
      <c r="B449" s="29" t="str">
        <f>IF(A449="","",'Ground Schedule'!C94)</f>
        <v/>
      </c>
      <c r="C449" s="29" t="str">
        <f>IF(A449="","",'Ground Schedule'!F$4)</f>
        <v/>
      </c>
      <c r="D449" s="29" t="str">
        <f>IF(A449="","",'Ground Schedule'!F94)</f>
        <v/>
      </c>
      <c r="E449" s="29" t="str">
        <f t="shared" si="18"/>
        <v/>
      </c>
      <c r="F449" s="40"/>
      <c r="G449" s="29" t="str">
        <f t="shared" si="19"/>
        <v/>
      </c>
      <c r="H449" s="40"/>
      <c r="I449" s="29" t="str">
        <f t="shared" si="20"/>
        <v/>
      </c>
      <c r="J449" s="29"/>
    </row>
    <row r="450" spans="1:10" ht="22.05" customHeight="1" x14ac:dyDescent="0.45">
      <c r="A450" s="39" t="str">
        <f>IF(OR('Ground Schedule'!A94="",'Ground Schedule'!G94=""),"",'Ground Schedule'!A94)</f>
        <v/>
      </c>
      <c r="B450" s="29" t="str">
        <f>IF(A450="","",'Ground Schedule'!C94)</f>
        <v/>
      </c>
      <c r="C450" s="29" t="str">
        <f>IF(A450="","",'Ground Schedule'!G$4)</f>
        <v/>
      </c>
      <c r="D450" s="29" t="str">
        <f>IF(A450="","",'Ground Schedule'!G94)</f>
        <v/>
      </c>
      <c r="E450" s="29" t="str">
        <f t="shared" si="18"/>
        <v/>
      </c>
      <c r="F450" s="40"/>
      <c r="G450" s="29" t="str">
        <f t="shared" si="19"/>
        <v/>
      </c>
      <c r="H450" s="40"/>
      <c r="I450" s="29" t="str">
        <f t="shared" si="20"/>
        <v/>
      </c>
      <c r="J450" s="29"/>
    </row>
    <row r="451" spans="1:10" ht="22.05" customHeight="1" x14ac:dyDescent="0.45">
      <c r="A451" s="39" t="str">
        <f>IF(OR('Ground Schedule'!A94="",'Ground Schedule'!H94=""),"",'Ground Schedule'!A94)</f>
        <v/>
      </c>
      <c r="B451" s="29" t="str">
        <f>IF(A451="","",'Ground Schedule'!C94)</f>
        <v/>
      </c>
      <c r="C451" s="29" t="str">
        <f>IF(A451="","",'Ground Schedule'!H$4)</f>
        <v/>
      </c>
      <c r="D451" s="29" t="str">
        <f>IF(A451="","",'Ground Schedule'!H94)</f>
        <v/>
      </c>
      <c r="E451" s="29" t="str">
        <f t="shared" si="18"/>
        <v/>
      </c>
      <c r="F451" s="40"/>
      <c r="G451" s="29" t="str">
        <f t="shared" si="19"/>
        <v/>
      </c>
      <c r="H451" s="40"/>
      <c r="I451" s="29" t="str">
        <f t="shared" si="20"/>
        <v/>
      </c>
      <c r="J451" s="29"/>
    </row>
    <row r="452" spans="1:10" ht="22.05" customHeight="1" x14ac:dyDescent="0.45">
      <c r="A452" s="39" t="str">
        <f>IF(OR('Ground Schedule'!A94="",'Ground Schedule'!I94=""),"",'Ground Schedule'!A94)</f>
        <v/>
      </c>
      <c r="B452" s="29" t="str">
        <f>IF(A452="","",'Ground Schedule'!C94)</f>
        <v/>
      </c>
      <c r="C452" s="29" t="str">
        <f>IF(A452="","",'Ground Schedule'!I$4)</f>
        <v/>
      </c>
      <c r="D452" s="29" t="str">
        <f>IF(A452="","",'Ground Schedule'!I94)</f>
        <v/>
      </c>
      <c r="E452" s="29" t="str">
        <f t="shared" ref="E452:E515" si="21">IFERROR(TRIM(LEFT(D452,SEARCH(" vs ",D452)-1)),"")</f>
        <v/>
      </c>
      <c r="F452" s="40"/>
      <c r="G452" s="29" t="str">
        <f t="shared" ref="G452:G483" si="22">IFERROR(TRIM(MID(D452,SEARCH(" vs ",D452)+4,LEN(D452))),"")</f>
        <v/>
      </c>
      <c r="H452" s="40"/>
      <c r="I452" s="29" t="str">
        <f t="shared" ref="I452:I515" si="23">IF(OR(E452="",G452=""),"",IF(AND(F452="Paid",H452="Paid"),"Both Paid",IF(AND(OR(F452="Pending",F452=""),OR(H452="Pending",H452="")),"Both Pending",IF(AND(F452="Not Applicable",H452="Not Applicable"),"Not Applicable",IF(OR(F452="Paid",H452="Paid"),"Partially Paid","Pending")))))</f>
        <v/>
      </c>
      <c r="J452" s="29"/>
    </row>
    <row r="453" spans="1:10" ht="22.05" customHeight="1" x14ac:dyDescent="0.45">
      <c r="A453" s="39" t="str">
        <f>IF(OR('Ground Schedule'!A94="",'Ground Schedule'!J94=""),"",'Ground Schedule'!A94)</f>
        <v/>
      </c>
      <c r="B453" s="29" t="str">
        <f>IF(A453="","",'Ground Schedule'!C94)</f>
        <v/>
      </c>
      <c r="C453" s="29" t="str">
        <f>IF(A453="","",'Ground Schedule'!J$4)</f>
        <v/>
      </c>
      <c r="D453" s="29" t="str">
        <f>IF(A453="","",'Ground Schedule'!J94)</f>
        <v/>
      </c>
      <c r="E453" s="29" t="str">
        <f t="shared" si="21"/>
        <v/>
      </c>
      <c r="F453" s="40"/>
      <c r="G453" s="29" t="str">
        <f t="shared" si="22"/>
        <v/>
      </c>
      <c r="H453" s="40"/>
      <c r="I453" s="29" t="str">
        <f t="shared" si="23"/>
        <v/>
      </c>
      <c r="J453" s="29"/>
    </row>
    <row r="454" spans="1:10" ht="22.05" customHeight="1" x14ac:dyDescent="0.45">
      <c r="A454" s="39" t="str">
        <f>IF(OR('Ground Schedule'!A95="",'Ground Schedule'!F95=""),"",'Ground Schedule'!A95)</f>
        <v/>
      </c>
      <c r="B454" s="29" t="str">
        <f>IF(A454="","",'Ground Schedule'!C95)</f>
        <v/>
      </c>
      <c r="C454" s="29" t="str">
        <f>IF(A454="","",'Ground Schedule'!F$4)</f>
        <v/>
      </c>
      <c r="D454" s="29" t="str">
        <f>IF(A454="","",'Ground Schedule'!F95)</f>
        <v/>
      </c>
      <c r="E454" s="29" t="str">
        <f t="shared" si="21"/>
        <v/>
      </c>
      <c r="F454" s="40"/>
      <c r="G454" s="29" t="str">
        <f t="shared" si="22"/>
        <v/>
      </c>
      <c r="H454" s="40"/>
      <c r="I454" s="29" t="str">
        <f t="shared" si="23"/>
        <v/>
      </c>
      <c r="J454" s="29"/>
    </row>
    <row r="455" spans="1:10" ht="22.05" customHeight="1" x14ac:dyDescent="0.45">
      <c r="A455" s="39" t="str">
        <f>IF(OR('Ground Schedule'!A95="",'Ground Schedule'!G95=""),"",'Ground Schedule'!A95)</f>
        <v/>
      </c>
      <c r="B455" s="29" t="str">
        <f>IF(A455="","",'Ground Schedule'!C95)</f>
        <v/>
      </c>
      <c r="C455" s="29" t="str">
        <f>IF(A455="","",'Ground Schedule'!G$4)</f>
        <v/>
      </c>
      <c r="D455" s="29" t="str">
        <f>IF(A455="","",'Ground Schedule'!G95)</f>
        <v/>
      </c>
      <c r="E455" s="29" t="str">
        <f t="shared" si="21"/>
        <v/>
      </c>
      <c r="F455" s="40"/>
      <c r="G455" s="29" t="str">
        <f t="shared" si="22"/>
        <v/>
      </c>
      <c r="H455" s="40"/>
      <c r="I455" s="29" t="str">
        <f t="shared" si="23"/>
        <v/>
      </c>
      <c r="J455" s="29"/>
    </row>
    <row r="456" spans="1:10" ht="22.05" customHeight="1" x14ac:dyDescent="0.45">
      <c r="A456" s="39" t="str">
        <f>IF(OR('Ground Schedule'!A95="",'Ground Schedule'!H95=""),"",'Ground Schedule'!A95)</f>
        <v/>
      </c>
      <c r="B456" s="29" t="str">
        <f>IF(A456="","",'Ground Schedule'!C95)</f>
        <v/>
      </c>
      <c r="C456" s="29" t="str">
        <f>IF(A456="","",'Ground Schedule'!H$4)</f>
        <v/>
      </c>
      <c r="D456" s="29" t="str">
        <f>IF(A456="","",'Ground Schedule'!H95)</f>
        <v/>
      </c>
      <c r="E456" s="29" t="str">
        <f t="shared" si="21"/>
        <v/>
      </c>
      <c r="F456" s="40"/>
      <c r="G456" s="29" t="str">
        <f t="shared" si="22"/>
        <v/>
      </c>
      <c r="H456" s="40"/>
      <c r="I456" s="29" t="str">
        <f t="shared" si="23"/>
        <v/>
      </c>
      <c r="J456" s="29"/>
    </row>
    <row r="457" spans="1:10" ht="22.05" customHeight="1" x14ac:dyDescent="0.45">
      <c r="A457" s="39" t="str">
        <f>IF(OR('Ground Schedule'!A95="",'Ground Schedule'!I95=""),"",'Ground Schedule'!A95)</f>
        <v/>
      </c>
      <c r="B457" s="29" t="str">
        <f>IF(A457="","",'Ground Schedule'!C95)</f>
        <v/>
      </c>
      <c r="C457" s="29" t="str">
        <f>IF(A457="","",'Ground Schedule'!I$4)</f>
        <v/>
      </c>
      <c r="D457" s="29" t="str">
        <f>IF(A457="","",'Ground Schedule'!I95)</f>
        <v/>
      </c>
      <c r="E457" s="29" t="str">
        <f t="shared" si="21"/>
        <v/>
      </c>
      <c r="F457" s="40"/>
      <c r="G457" s="29" t="str">
        <f t="shared" si="22"/>
        <v/>
      </c>
      <c r="H457" s="40"/>
      <c r="I457" s="29" t="str">
        <f t="shared" si="23"/>
        <v/>
      </c>
      <c r="J457" s="29"/>
    </row>
    <row r="458" spans="1:10" ht="22.05" customHeight="1" x14ac:dyDescent="0.45">
      <c r="A458" s="39" t="str">
        <f>IF(OR('Ground Schedule'!A95="",'Ground Schedule'!J95=""),"",'Ground Schedule'!A95)</f>
        <v/>
      </c>
      <c r="B458" s="29" t="str">
        <f>IF(A458="","",'Ground Schedule'!C95)</f>
        <v/>
      </c>
      <c r="C458" s="29" t="str">
        <f>IF(A458="","",'Ground Schedule'!J$4)</f>
        <v/>
      </c>
      <c r="D458" s="29" t="str">
        <f>IF(A458="","",'Ground Schedule'!J95)</f>
        <v/>
      </c>
      <c r="E458" s="29" t="str">
        <f t="shared" si="21"/>
        <v/>
      </c>
      <c r="F458" s="40"/>
      <c r="G458" s="29" t="str">
        <f t="shared" si="22"/>
        <v/>
      </c>
      <c r="H458" s="40"/>
      <c r="I458" s="29" t="str">
        <f t="shared" si="23"/>
        <v/>
      </c>
      <c r="J458" s="29"/>
    </row>
    <row r="459" spans="1:10" ht="22.05" customHeight="1" x14ac:dyDescent="0.45">
      <c r="A459" s="39" t="str">
        <f>IF(OR('Ground Schedule'!A96="",'Ground Schedule'!F96=""),"",'Ground Schedule'!A96)</f>
        <v/>
      </c>
      <c r="B459" s="29" t="str">
        <f>IF(A459="","",'Ground Schedule'!C96)</f>
        <v/>
      </c>
      <c r="C459" s="29" t="str">
        <f>IF(A459="","",'Ground Schedule'!F$4)</f>
        <v/>
      </c>
      <c r="D459" s="29" t="str">
        <f>IF(A459="","",'Ground Schedule'!F96)</f>
        <v/>
      </c>
      <c r="E459" s="29" t="str">
        <f t="shared" si="21"/>
        <v/>
      </c>
      <c r="F459" s="40"/>
      <c r="G459" s="29" t="str">
        <f t="shared" si="22"/>
        <v/>
      </c>
      <c r="H459" s="40"/>
      <c r="I459" s="29" t="str">
        <f t="shared" si="23"/>
        <v/>
      </c>
      <c r="J459" s="29"/>
    </row>
    <row r="460" spans="1:10" ht="22.05" customHeight="1" x14ac:dyDescent="0.45">
      <c r="A460" s="39" t="str">
        <f>IF(OR('Ground Schedule'!A96="",'Ground Schedule'!G96=""),"",'Ground Schedule'!A96)</f>
        <v/>
      </c>
      <c r="B460" s="29" t="str">
        <f>IF(A460="","",'Ground Schedule'!C96)</f>
        <v/>
      </c>
      <c r="C460" s="29" t="str">
        <f>IF(A460="","",'Ground Schedule'!G$4)</f>
        <v/>
      </c>
      <c r="D460" s="29" t="str">
        <f>IF(A460="","",'Ground Schedule'!G96)</f>
        <v/>
      </c>
      <c r="E460" s="29" t="str">
        <f t="shared" si="21"/>
        <v/>
      </c>
      <c r="F460" s="40"/>
      <c r="G460" s="29" t="str">
        <f t="shared" si="22"/>
        <v/>
      </c>
      <c r="H460" s="40"/>
      <c r="I460" s="29" t="str">
        <f t="shared" si="23"/>
        <v/>
      </c>
      <c r="J460" s="29"/>
    </row>
    <row r="461" spans="1:10" ht="22.05" customHeight="1" x14ac:dyDescent="0.45">
      <c r="A461" s="39" t="str">
        <f>IF(OR('Ground Schedule'!A96="",'Ground Schedule'!H96=""),"",'Ground Schedule'!A96)</f>
        <v/>
      </c>
      <c r="B461" s="29" t="str">
        <f>IF(A461="","",'Ground Schedule'!C96)</f>
        <v/>
      </c>
      <c r="C461" s="29" t="str">
        <f>IF(A461="","",'Ground Schedule'!H$4)</f>
        <v/>
      </c>
      <c r="D461" s="29" t="str">
        <f>IF(A461="","",'Ground Schedule'!H96)</f>
        <v/>
      </c>
      <c r="E461" s="29" t="str">
        <f t="shared" si="21"/>
        <v/>
      </c>
      <c r="F461" s="40"/>
      <c r="G461" s="29" t="str">
        <f t="shared" si="22"/>
        <v/>
      </c>
      <c r="H461" s="40"/>
      <c r="I461" s="29" t="str">
        <f t="shared" si="23"/>
        <v/>
      </c>
      <c r="J461" s="29"/>
    </row>
    <row r="462" spans="1:10" ht="22.05" customHeight="1" x14ac:dyDescent="0.45">
      <c r="A462" s="39" t="str">
        <f>IF(OR('Ground Schedule'!A96="",'Ground Schedule'!I96=""),"",'Ground Schedule'!A96)</f>
        <v/>
      </c>
      <c r="B462" s="29" t="str">
        <f>IF(A462="","",'Ground Schedule'!C96)</f>
        <v/>
      </c>
      <c r="C462" s="29" t="str">
        <f>IF(A462="","",'Ground Schedule'!I$4)</f>
        <v/>
      </c>
      <c r="D462" s="29" t="str">
        <f>IF(A462="","",'Ground Schedule'!I96)</f>
        <v/>
      </c>
      <c r="E462" s="29" t="str">
        <f t="shared" si="21"/>
        <v/>
      </c>
      <c r="F462" s="40"/>
      <c r="G462" s="29" t="str">
        <f t="shared" si="22"/>
        <v/>
      </c>
      <c r="H462" s="40"/>
      <c r="I462" s="29" t="str">
        <f t="shared" si="23"/>
        <v/>
      </c>
      <c r="J462" s="29"/>
    </row>
    <row r="463" spans="1:10" ht="22.05" customHeight="1" x14ac:dyDescent="0.45">
      <c r="A463" s="39" t="str">
        <f>IF(OR('Ground Schedule'!A96="",'Ground Schedule'!J96=""),"",'Ground Schedule'!A96)</f>
        <v/>
      </c>
      <c r="B463" s="29" t="str">
        <f>IF(A463="","",'Ground Schedule'!C96)</f>
        <v/>
      </c>
      <c r="C463" s="29" t="str">
        <f>IF(A463="","",'Ground Schedule'!J$4)</f>
        <v/>
      </c>
      <c r="D463" s="29" t="str">
        <f>IF(A463="","",'Ground Schedule'!J96)</f>
        <v/>
      </c>
      <c r="E463" s="29" t="str">
        <f t="shared" si="21"/>
        <v/>
      </c>
      <c r="F463" s="40"/>
      <c r="G463" s="29" t="str">
        <f t="shared" si="22"/>
        <v/>
      </c>
      <c r="H463" s="40"/>
      <c r="I463" s="29" t="str">
        <f t="shared" si="23"/>
        <v/>
      </c>
      <c r="J463" s="29"/>
    </row>
    <row r="464" spans="1:10" ht="22.05" customHeight="1" x14ac:dyDescent="0.45">
      <c r="A464" s="39" t="str">
        <f>IF(OR('Ground Schedule'!A97="",'Ground Schedule'!F97=""),"",'Ground Schedule'!A97)</f>
        <v/>
      </c>
      <c r="B464" s="29" t="str">
        <f>IF(A464="","",'Ground Schedule'!C97)</f>
        <v/>
      </c>
      <c r="C464" s="29" t="str">
        <f>IF(A464="","",'Ground Schedule'!F$4)</f>
        <v/>
      </c>
      <c r="D464" s="29" t="str">
        <f>IF(A464="","",'Ground Schedule'!F97)</f>
        <v/>
      </c>
      <c r="E464" s="29" t="str">
        <f t="shared" si="21"/>
        <v/>
      </c>
      <c r="F464" s="40"/>
      <c r="G464" s="29" t="str">
        <f t="shared" si="22"/>
        <v/>
      </c>
      <c r="H464" s="40"/>
      <c r="I464" s="29" t="str">
        <f t="shared" si="23"/>
        <v/>
      </c>
      <c r="J464" s="29"/>
    </row>
    <row r="465" spans="1:10" ht="22.05" customHeight="1" x14ac:dyDescent="0.45">
      <c r="A465" s="39" t="str">
        <f>IF(OR('Ground Schedule'!A97="",'Ground Schedule'!G97=""),"",'Ground Schedule'!A97)</f>
        <v/>
      </c>
      <c r="B465" s="29" t="str">
        <f>IF(A465="","",'Ground Schedule'!C97)</f>
        <v/>
      </c>
      <c r="C465" s="29" t="str">
        <f>IF(A465="","",'Ground Schedule'!G$4)</f>
        <v/>
      </c>
      <c r="D465" s="29" t="str">
        <f>IF(A465="","",'Ground Schedule'!G97)</f>
        <v/>
      </c>
      <c r="E465" s="29" t="str">
        <f t="shared" si="21"/>
        <v/>
      </c>
      <c r="F465" s="40"/>
      <c r="G465" s="29" t="str">
        <f t="shared" si="22"/>
        <v/>
      </c>
      <c r="H465" s="40"/>
      <c r="I465" s="29" t="str">
        <f t="shared" si="23"/>
        <v/>
      </c>
      <c r="J465" s="29"/>
    </row>
    <row r="466" spans="1:10" ht="22.05" customHeight="1" x14ac:dyDescent="0.45">
      <c r="A466" s="39" t="str">
        <f>IF(OR('Ground Schedule'!A97="",'Ground Schedule'!H97=""),"",'Ground Schedule'!A97)</f>
        <v/>
      </c>
      <c r="B466" s="29" t="str">
        <f>IF(A466="","",'Ground Schedule'!C97)</f>
        <v/>
      </c>
      <c r="C466" s="29" t="str">
        <f>IF(A466="","",'Ground Schedule'!H$4)</f>
        <v/>
      </c>
      <c r="D466" s="29" t="str">
        <f>IF(A466="","",'Ground Schedule'!H97)</f>
        <v/>
      </c>
      <c r="E466" s="29" t="str">
        <f t="shared" si="21"/>
        <v/>
      </c>
      <c r="F466" s="40"/>
      <c r="G466" s="29" t="str">
        <f t="shared" si="22"/>
        <v/>
      </c>
      <c r="H466" s="40"/>
      <c r="I466" s="29" t="str">
        <f t="shared" si="23"/>
        <v/>
      </c>
      <c r="J466" s="29"/>
    </row>
    <row r="467" spans="1:10" ht="22.05" customHeight="1" x14ac:dyDescent="0.45">
      <c r="A467" s="39" t="str">
        <f>IF(OR('Ground Schedule'!A97="",'Ground Schedule'!I97=""),"",'Ground Schedule'!A97)</f>
        <v/>
      </c>
      <c r="B467" s="29" t="str">
        <f>IF(A467="","",'Ground Schedule'!C97)</f>
        <v/>
      </c>
      <c r="C467" s="29" t="str">
        <f>IF(A467="","",'Ground Schedule'!I$4)</f>
        <v/>
      </c>
      <c r="D467" s="29" t="str">
        <f>IF(A467="","",'Ground Schedule'!I97)</f>
        <v/>
      </c>
      <c r="E467" s="29" t="str">
        <f t="shared" si="21"/>
        <v/>
      </c>
      <c r="F467" s="40"/>
      <c r="G467" s="29" t="str">
        <f t="shared" si="22"/>
        <v/>
      </c>
      <c r="H467" s="40"/>
      <c r="I467" s="29" t="str">
        <f t="shared" si="23"/>
        <v/>
      </c>
      <c r="J467" s="29"/>
    </row>
    <row r="468" spans="1:10" ht="22.05" customHeight="1" x14ac:dyDescent="0.45">
      <c r="A468" s="39" t="str">
        <f>IF(OR('Ground Schedule'!A97="",'Ground Schedule'!J97=""),"",'Ground Schedule'!A97)</f>
        <v/>
      </c>
      <c r="B468" s="29" t="str">
        <f>IF(A468="","",'Ground Schedule'!C97)</f>
        <v/>
      </c>
      <c r="C468" s="29" t="str">
        <f>IF(A468="","",'Ground Schedule'!J$4)</f>
        <v/>
      </c>
      <c r="D468" s="29" t="str">
        <f>IF(A468="","",'Ground Schedule'!J97)</f>
        <v/>
      </c>
      <c r="E468" s="29" t="str">
        <f t="shared" si="21"/>
        <v/>
      </c>
      <c r="F468" s="40"/>
      <c r="G468" s="29" t="str">
        <f t="shared" si="22"/>
        <v/>
      </c>
      <c r="H468" s="40"/>
      <c r="I468" s="29" t="str">
        <f t="shared" si="23"/>
        <v/>
      </c>
      <c r="J468" s="29"/>
    </row>
    <row r="469" spans="1:10" ht="22.05" customHeight="1" x14ac:dyDescent="0.45">
      <c r="A469" s="39" t="str">
        <f>IF(OR('Ground Schedule'!A98="",'Ground Schedule'!F98=""),"",'Ground Schedule'!A98)</f>
        <v/>
      </c>
      <c r="B469" s="29" t="str">
        <f>IF(A469="","",'Ground Schedule'!C98)</f>
        <v/>
      </c>
      <c r="C469" s="29" t="str">
        <f>IF(A469="","",'Ground Schedule'!F$4)</f>
        <v/>
      </c>
      <c r="D469" s="29" t="str">
        <f>IF(A469="","",'Ground Schedule'!F98)</f>
        <v/>
      </c>
      <c r="E469" s="29" t="str">
        <f t="shared" si="21"/>
        <v/>
      </c>
      <c r="F469" s="40"/>
      <c r="G469" s="29" t="str">
        <f t="shared" si="22"/>
        <v/>
      </c>
      <c r="H469" s="40"/>
      <c r="I469" s="29" t="str">
        <f t="shared" si="23"/>
        <v/>
      </c>
      <c r="J469" s="29"/>
    </row>
    <row r="470" spans="1:10" ht="22.05" customHeight="1" x14ac:dyDescent="0.45">
      <c r="A470" s="39" t="str">
        <f>IF(OR('Ground Schedule'!A98="",'Ground Schedule'!G98=""),"",'Ground Schedule'!A98)</f>
        <v/>
      </c>
      <c r="B470" s="29" t="str">
        <f>IF(A470="","",'Ground Schedule'!C98)</f>
        <v/>
      </c>
      <c r="C470" s="29" t="str">
        <f>IF(A470="","",'Ground Schedule'!G$4)</f>
        <v/>
      </c>
      <c r="D470" s="29" t="str">
        <f>IF(A470="","",'Ground Schedule'!G98)</f>
        <v/>
      </c>
      <c r="E470" s="29" t="str">
        <f t="shared" si="21"/>
        <v/>
      </c>
      <c r="F470" s="40"/>
      <c r="G470" s="29" t="str">
        <f t="shared" si="22"/>
        <v/>
      </c>
      <c r="H470" s="40"/>
      <c r="I470" s="29" t="str">
        <f t="shared" si="23"/>
        <v/>
      </c>
      <c r="J470" s="29"/>
    </row>
    <row r="471" spans="1:10" ht="22.05" customHeight="1" x14ac:dyDescent="0.45">
      <c r="A471" s="39" t="str">
        <f>IF(OR('Ground Schedule'!A98="",'Ground Schedule'!H98=""),"",'Ground Schedule'!A98)</f>
        <v/>
      </c>
      <c r="B471" s="29" t="str">
        <f>IF(A471="","",'Ground Schedule'!C98)</f>
        <v/>
      </c>
      <c r="C471" s="29" t="str">
        <f>IF(A471="","",'Ground Schedule'!H$4)</f>
        <v/>
      </c>
      <c r="D471" s="29" t="str">
        <f>IF(A471="","",'Ground Schedule'!H98)</f>
        <v/>
      </c>
      <c r="E471" s="29" t="str">
        <f t="shared" si="21"/>
        <v/>
      </c>
      <c r="F471" s="40"/>
      <c r="G471" s="29" t="str">
        <f t="shared" si="22"/>
        <v/>
      </c>
      <c r="H471" s="40"/>
      <c r="I471" s="29" t="str">
        <f t="shared" si="23"/>
        <v/>
      </c>
      <c r="J471" s="29"/>
    </row>
    <row r="472" spans="1:10" ht="22.05" customHeight="1" x14ac:dyDescent="0.45">
      <c r="A472" s="39" t="str">
        <f>IF(OR('Ground Schedule'!A98="",'Ground Schedule'!I98=""),"",'Ground Schedule'!A98)</f>
        <v/>
      </c>
      <c r="B472" s="29" t="str">
        <f>IF(A472="","",'Ground Schedule'!C98)</f>
        <v/>
      </c>
      <c r="C472" s="29" t="str">
        <f>IF(A472="","",'Ground Schedule'!I$4)</f>
        <v/>
      </c>
      <c r="D472" s="29" t="str">
        <f>IF(A472="","",'Ground Schedule'!I98)</f>
        <v/>
      </c>
      <c r="E472" s="29" t="str">
        <f t="shared" si="21"/>
        <v/>
      </c>
      <c r="F472" s="40"/>
      <c r="G472" s="29" t="str">
        <f t="shared" si="22"/>
        <v/>
      </c>
      <c r="H472" s="40"/>
      <c r="I472" s="29" t="str">
        <f t="shared" si="23"/>
        <v/>
      </c>
      <c r="J472" s="29"/>
    </row>
    <row r="473" spans="1:10" ht="22.05" customHeight="1" x14ac:dyDescent="0.45">
      <c r="A473" s="39" t="str">
        <f>IF(OR('Ground Schedule'!A98="",'Ground Schedule'!J98=""),"",'Ground Schedule'!A98)</f>
        <v/>
      </c>
      <c r="B473" s="29" t="str">
        <f>IF(A473="","",'Ground Schedule'!C98)</f>
        <v/>
      </c>
      <c r="C473" s="29" t="str">
        <f>IF(A473="","",'Ground Schedule'!J$4)</f>
        <v/>
      </c>
      <c r="D473" s="29" t="str">
        <f>IF(A473="","",'Ground Schedule'!J98)</f>
        <v/>
      </c>
      <c r="E473" s="29" t="str">
        <f t="shared" si="21"/>
        <v/>
      </c>
      <c r="F473" s="40"/>
      <c r="G473" s="29" t="str">
        <f t="shared" si="22"/>
        <v/>
      </c>
      <c r="H473" s="40"/>
      <c r="I473" s="29" t="str">
        <f t="shared" si="23"/>
        <v/>
      </c>
      <c r="J473" s="29"/>
    </row>
    <row r="474" spans="1:10" ht="22.05" customHeight="1" x14ac:dyDescent="0.45">
      <c r="A474" s="39" t="str">
        <f>IF(OR('Ground Schedule'!A99="",'Ground Schedule'!F99=""),"",'Ground Schedule'!A99)</f>
        <v/>
      </c>
      <c r="B474" s="29" t="str">
        <f>IF(A474="","",'Ground Schedule'!C99)</f>
        <v/>
      </c>
      <c r="C474" s="29" t="str">
        <f>IF(A474="","",'Ground Schedule'!F$4)</f>
        <v/>
      </c>
      <c r="D474" s="29" t="str">
        <f>IF(A474="","",'Ground Schedule'!F99)</f>
        <v/>
      </c>
      <c r="E474" s="29" t="str">
        <f t="shared" si="21"/>
        <v/>
      </c>
      <c r="F474" s="40"/>
      <c r="G474" s="29" t="str">
        <f t="shared" si="22"/>
        <v/>
      </c>
      <c r="H474" s="40"/>
      <c r="I474" s="29" t="str">
        <f t="shared" si="23"/>
        <v/>
      </c>
      <c r="J474" s="29"/>
    </row>
    <row r="475" spans="1:10" ht="22.05" customHeight="1" x14ac:dyDescent="0.45">
      <c r="A475" s="39" t="str">
        <f>IF(OR('Ground Schedule'!A99="",'Ground Schedule'!G99=""),"",'Ground Schedule'!A99)</f>
        <v/>
      </c>
      <c r="B475" s="29" t="str">
        <f>IF(A475="","",'Ground Schedule'!C99)</f>
        <v/>
      </c>
      <c r="C475" s="29" t="str">
        <f>IF(A475="","",'Ground Schedule'!G$4)</f>
        <v/>
      </c>
      <c r="D475" s="29" t="str">
        <f>IF(A475="","",'Ground Schedule'!G99)</f>
        <v/>
      </c>
      <c r="E475" s="29" t="str">
        <f t="shared" si="21"/>
        <v/>
      </c>
      <c r="F475" s="40"/>
      <c r="G475" s="29" t="str">
        <f t="shared" si="22"/>
        <v/>
      </c>
      <c r="H475" s="40"/>
      <c r="I475" s="29" t="str">
        <f t="shared" si="23"/>
        <v/>
      </c>
      <c r="J475" s="29"/>
    </row>
    <row r="476" spans="1:10" ht="22.05" customHeight="1" x14ac:dyDescent="0.45">
      <c r="A476" s="39" t="str">
        <f>IF(OR('Ground Schedule'!A99="",'Ground Schedule'!H99=""),"",'Ground Schedule'!A99)</f>
        <v/>
      </c>
      <c r="B476" s="29" t="str">
        <f>IF(A476="","",'Ground Schedule'!C99)</f>
        <v/>
      </c>
      <c r="C476" s="29" t="str">
        <f>IF(A476="","",'Ground Schedule'!H$4)</f>
        <v/>
      </c>
      <c r="D476" s="29" t="str">
        <f>IF(A476="","",'Ground Schedule'!H99)</f>
        <v/>
      </c>
      <c r="E476" s="29" t="str">
        <f t="shared" si="21"/>
        <v/>
      </c>
      <c r="F476" s="40"/>
      <c r="G476" s="29" t="str">
        <f t="shared" si="22"/>
        <v/>
      </c>
      <c r="H476" s="40"/>
      <c r="I476" s="29" t="str">
        <f t="shared" si="23"/>
        <v/>
      </c>
      <c r="J476" s="29"/>
    </row>
    <row r="477" spans="1:10" ht="22.05" customHeight="1" x14ac:dyDescent="0.45">
      <c r="A477" s="39" t="str">
        <f>IF(OR('Ground Schedule'!A99="",'Ground Schedule'!I99=""),"",'Ground Schedule'!A99)</f>
        <v/>
      </c>
      <c r="B477" s="29" t="str">
        <f>IF(A477="","",'Ground Schedule'!C99)</f>
        <v/>
      </c>
      <c r="C477" s="29" t="str">
        <f>IF(A477="","",'Ground Schedule'!I$4)</f>
        <v/>
      </c>
      <c r="D477" s="29" t="str">
        <f>IF(A477="","",'Ground Schedule'!I99)</f>
        <v/>
      </c>
      <c r="E477" s="29" t="str">
        <f t="shared" si="21"/>
        <v/>
      </c>
      <c r="F477" s="40"/>
      <c r="G477" s="29" t="str">
        <f t="shared" si="22"/>
        <v/>
      </c>
      <c r="H477" s="40"/>
      <c r="I477" s="29" t="str">
        <f t="shared" si="23"/>
        <v/>
      </c>
      <c r="J477" s="29"/>
    </row>
    <row r="478" spans="1:10" ht="22.05" customHeight="1" x14ac:dyDescent="0.45">
      <c r="A478" s="39" t="str">
        <f>IF(OR('Ground Schedule'!A99="",'Ground Schedule'!J99=""),"",'Ground Schedule'!A99)</f>
        <v/>
      </c>
      <c r="B478" s="29" t="str">
        <f>IF(A478="","",'Ground Schedule'!C99)</f>
        <v/>
      </c>
      <c r="C478" s="29" t="str">
        <f>IF(A478="","",'Ground Schedule'!J$4)</f>
        <v/>
      </c>
      <c r="D478" s="29" t="str">
        <f>IF(A478="","",'Ground Schedule'!J99)</f>
        <v/>
      </c>
      <c r="E478" s="29" t="str">
        <f t="shared" si="21"/>
        <v/>
      </c>
      <c r="F478" s="40"/>
      <c r="G478" s="29" t="str">
        <f t="shared" si="22"/>
        <v/>
      </c>
      <c r="H478" s="40"/>
      <c r="I478" s="29" t="str">
        <f t="shared" si="23"/>
        <v/>
      </c>
      <c r="J478" s="29"/>
    </row>
    <row r="479" spans="1:10" ht="22.05" customHeight="1" x14ac:dyDescent="0.45">
      <c r="A479" s="39" t="str">
        <f>IF(OR('Ground Schedule'!A100="",'Ground Schedule'!F100=""),"",'Ground Schedule'!A100)</f>
        <v/>
      </c>
      <c r="B479" s="29" t="str">
        <f>IF(A479="","",'Ground Schedule'!C100)</f>
        <v/>
      </c>
      <c r="C479" s="29" t="str">
        <f>IF(A479="","",'Ground Schedule'!F$4)</f>
        <v/>
      </c>
      <c r="D479" s="29" t="str">
        <f>IF(A479="","",'Ground Schedule'!F100)</f>
        <v/>
      </c>
      <c r="E479" s="29" t="str">
        <f t="shared" si="21"/>
        <v/>
      </c>
      <c r="F479" s="40"/>
      <c r="G479" s="29" t="str">
        <f t="shared" si="22"/>
        <v/>
      </c>
      <c r="H479" s="40"/>
      <c r="I479" s="29" t="str">
        <f t="shared" si="23"/>
        <v/>
      </c>
      <c r="J479" s="29"/>
    </row>
    <row r="480" spans="1:10" ht="22.05" customHeight="1" x14ac:dyDescent="0.45">
      <c r="A480" s="39" t="str">
        <f>IF(OR('Ground Schedule'!A100="",'Ground Schedule'!G100=""),"",'Ground Schedule'!A100)</f>
        <v/>
      </c>
      <c r="B480" s="29" t="str">
        <f>IF(A480="","",'Ground Schedule'!C100)</f>
        <v/>
      </c>
      <c r="C480" s="29" t="str">
        <f>IF(A480="","",'Ground Schedule'!G$4)</f>
        <v/>
      </c>
      <c r="D480" s="29" t="str">
        <f>IF(A480="","",'Ground Schedule'!G100)</f>
        <v/>
      </c>
      <c r="E480" s="29" t="str">
        <f t="shared" si="21"/>
        <v/>
      </c>
      <c r="F480" s="40"/>
      <c r="G480" s="29" t="str">
        <f t="shared" si="22"/>
        <v/>
      </c>
      <c r="H480" s="40"/>
      <c r="I480" s="29" t="str">
        <f t="shared" si="23"/>
        <v/>
      </c>
      <c r="J480" s="29"/>
    </row>
    <row r="481" spans="1:10" ht="22.05" customHeight="1" x14ac:dyDescent="0.45">
      <c r="A481" s="39" t="str">
        <f>IF(OR('Ground Schedule'!A100="",'Ground Schedule'!H100=""),"",'Ground Schedule'!A100)</f>
        <v/>
      </c>
      <c r="B481" s="29" t="str">
        <f>IF(A481="","",'Ground Schedule'!C100)</f>
        <v/>
      </c>
      <c r="C481" s="29" t="str">
        <f>IF(A481="","",'Ground Schedule'!H$4)</f>
        <v/>
      </c>
      <c r="D481" s="29" t="str">
        <f>IF(A481="","",'Ground Schedule'!H100)</f>
        <v/>
      </c>
      <c r="E481" s="29" t="str">
        <f t="shared" si="21"/>
        <v/>
      </c>
      <c r="F481" s="40"/>
      <c r="G481" s="29" t="str">
        <f t="shared" si="22"/>
        <v/>
      </c>
      <c r="H481" s="40"/>
      <c r="I481" s="29" t="str">
        <f t="shared" si="23"/>
        <v/>
      </c>
      <c r="J481" s="29"/>
    </row>
    <row r="482" spans="1:10" ht="22.05" customHeight="1" x14ac:dyDescent="0.45">
      <c r="A482" s="39" t="str">
        <f>IF(OR('Ground Schedule'!A100="",'Ground Schedule'!I100=""),"",'Ground Schedule'!A100)</f>
        <v/>
      </c>
      <c r="B482" s="29" t="str">
        <f>IF(A482="","",'Ground Schedule'!C100)</f>
        <v/>
      </c>
      <c r="C482" s="29" t="str">
        <f>IF(A482="","",'Ground Schedule'!I$4)</f>
        <v/>
      </c>
      <c r="D482" s="29" t="str">
        <f>IF(A482="","",'Ground Schedule'!I100)</f>
        <v/>
      </c>
      <c r="E482" s="29" t="str">
        <f t="shared" si="21"/>
        <v/>
      </c>
      <c r="F482" s="40"/>
      <c r="G482" s="29" t="str">
        <f t="shared" si="22"/>
        <v/>
      </c>
      <c r="H482" s="40"/>
      <c r="I482" s="29" t="str">
        <f t="shared" si="23"/>
        <v/>
      </c>
      <c r="J482" s="29"/>
    </row>
    <row r="483" spans="1:10" ht="22.05" customHeight="1" x14ac:dyDescent="0.45">
      <c r="A483" s="39" t="str">
        <f>IF(OR('Ground Schedule'!A100="",'Ground Schedule'!J100=""),"",'Ground Schedule'!A100)</f>
        <v/>
      </c>
      <c r="B483" s="29" t="str">
        <f>IF(A483="","",'Ground Schedule'!C100)</f>
        <v/>
      </c>
      <c r="C483" s="29" t="str">
        <f>IF(A483="","",'Ground Schedule'!J$4)</f>
        <v/>
      </c>
      <c r="D483" s="29" t="str">
        <f>IF(A483="","",'Ground Schedule'!J100)</f>
        <v/>
      </c>
      <c r="E483" s="29" t="str">
        <f t="shared" si="21"/>
        <v/>
      </c>
      <c r="F483" s="40"/>
      <c r="G483" s="29" t="str">
        <f t="shared" si="22"/>
        <v/>
      </c>
      <c r="H483" s="40"/>
      <c r="I483" s="29" t="str">
        <f t="shared" si="23"/>
        <v/>
      </c>
      <c r="J483" s="29"/>
    </row>
    <row r="484" spans="1:10" ht="22.05" customHeight="1" x14ac:dyDescent="0.45">
      <c r="A484" s="39"/>
      <c r="B484" s="29"/>
      <c r="C484" s="29"/>
      <c r="D484" s="29"/>
      <c r="E484" s="29"/>
      <c r="F484" s="40"/>
      <c r="G484" s="29"/>
      <c r="H484" s="40"/>
      <c r="I484" s="29"/>
      <c r="J484" s="29"/>
    </row>
    <row r="485" spans="1:10" ht="22.05" customHeight="1" x14ac:dyDescent="0.45">
      <c r="A485" s="41"/>
      <c r="B485" s="31"/>
      <c r="C485" s="31"/>
      <c r="D485" s="31"/>
      <c r="E485" s="31"/>
      <c r="F485" s="40"/>
      <c r="G485" s="31"/>
      <c r="H485" s="40"/>
      <c r="I485" s="31"/>
      <c r="J485" s="31"/>
    </row>
    <row r="486" spans="1:10" ht="22.05" customHeight="1" x14ac:dyDescent="0.45">
      <c r="A486" s="39"/>
      <c r="B486" s="29"/>
      <c r="C486" s="29"/>
      <c r="D486" s="29"/>
      <c r="E486" s="29"/>
      <c r="F486" s="40"/>
      <c r="G486" s="29"/>
      <c r="H486" s="40"/>
      <c r="I486" s="29"/>
      <c r="J486" s="29"/>
    </row>
    <row r="487" spans="1:10" ht="22.05" customHeight="1" x14ac:dyDescent="0.45">
      <c r="A487" s="41"/>
      <c r="B487" s="31"/>
      <c r="C487" s="31"/>
      <c r="D487" s="31"/>
      <c r="E487" s="31"/>
      <c r="F487" s="40"/>
      <c r="G487" s="31"/>
      <c r="H487" s="40"/>
      <c r="I487" s="31"/>
      <c r="J487" s="31"/>
    </row>
    <row r="488" spans="1:10" ht="22.05" customHeight="1" x14ac:dyDescent="0.45">
      <c r="A488" s="39"/>
      <c r="B488" s="29"/>
      <c r="C488" s="29"/>
      <c r="D488" s="29"/>
      <c r="E488" s="29"/>
      <c r="F488" s="40"/>
      <c r="G488" s="29"/>
      <c r="H488" s="40"/>
      <c r="I488" s="29"/>
      <c r="J488" s="29"/>
    </row>
    <row r="489" spans="1:10" ht="22.05" customHeight="1" x14ac:dyDescent="0.45">
      <c r="A489" s="41"/>
      <c r="B489" s="31"/>
      <c r="C489" s="31"/>
      <c r="D489" s="31"/>
      <c r="E489" s="31"/>
      <c r="F489" s="40"/>
      <c r="G489" s="31"/>
      <c r="H489" s="40"/>
      <c r="I489" s="31"/>
      <c r="J489" s="31"/>
    </row>
    <row r="490" spans="1:10" ht="22.05" customHeight="1" x14ac:dyDescent="0.45">
      <c r="A490" s="39"/>
      <c r="B490" s="29"/>
      <c r="C490" s="29"/>
      <c r="D490" s="29"/>
      <c r="E490" s="29"/>
      <c r="F490" s="40"/>
      <c r="G490" s="29"/>
      <c r="H490" s="40"/>
      <c r="I490" s="29"/>
      <c r="J490" s="29"/>
    </row>
    <row r="491" spans="1:10" ht="22.05" customHeight="1" x14ac:dyDescent="0.45">
      <c r="A491" s="41"/>
      <c r="B491" s="31"/>
      <c r="C491" s="31"/>
      <c r="D491" s="31"/>
      <c r="E491" s="31"/>
      <c r="F491" s="40"/>
      <c r="G491" s="31"/>
      <c r="H491" s="40"/>
      <c r="I491" s="31"/>
      <c r="J491" s="31"/>
    </row>
    <row r="492" spans="1:10" ht="22.05" customHeight="1" x14ac:dyDescent="0.45">
      <c r="A492" s="39"/>
      <c r="B492" s="29"/>
      <c r="C492" s="29"/>
      <c r="D492" s="29"/>
      <c r="E492" s="29"/>
      <c r="F492" s="40"/>
      <c r="G492" s="29"/>
      <c r="H492" s="40"/>
      <c r="I492" s="29"/>
      <c r="J492" s="29"/>
    </row>
    <row r="493" spans="1:10" ht="22.05" customHeight="1" x14ac:dyDescent="0.45">
      <c r="A493" s="41"/>
      <c r="B493" s="31"/>
      <c r="C493" s="31"/>
      <c r="D493" s="31"/>
      <c r="E493" s="31"/>
      <c r="F493" s="40"/>
      <c r="G493" s="31"/>
      <c r="H493" s="40"/>
      <c r="I493" s="31"/>
      <c r="J493" s="31"/>
    </row>
    <row r="494" spans="1:10" ht="22.05" customHeight="1" x14ac:dyDescent="0.45">
      <c r="A494" s="39"/>
      <c r="B494" s="29"/>
      <c r="C494" s="29"/>
      <c r="D494" s="29"/>
      <c r="E494" s="29"/>
      <c r="F494" s="40"/>
      <c r="G494" s="29"/>
      <c r="H494" s="40"/>
      <c r="I494" s="29"/>
      <c r="J494" s="29"/>
    </row>
    <row r="495" spans="1:10" ht="22.05" customHeight="1" x14ac:dyDescent="0.45">
      <c r="A495" s="41"/>
      <c r="B495" s="31"/>
      <c r="C495" s="31"/>
      <c r="D495" s="31"/>
      <c r="E495" s="31"/>
      <c r="F495" s="40"/>
      <c r="G495" s="31"/>
      <c r="H495" s="40"/>
      <c r="I495" s="31"/>
      <c r="J495" s="31"/>
    </row>
    <row r="496" spans="1:10" ht="22.05" customHeight="1" x14ac:dyDescent="0.45">
      <c r="A496" s="39"/>
      <c r="B496" s="29"/>
      <c r="C496" s="29"/>
      <c r="D496" s="29"/>
      <c r="E496" s="29"/>
      <c r="F496" s="40"/>
      <c r="G496" s="29"/>
      <c r="H496" s="40"/>
      <c r="I496" s="29"/>
      <c r="J496" s="29"/>
    </row>
    <row r="497" spans="1:10" ht="22.05" customHeight="1" x14ac:dyDescent="0.45">
      <c r="A497" s="41"/>
      <c r="B497" s="31"/>
      <c r="C497" s="31"/>
      <c r="D497" s="31"/>
      <c r="E497" s="31"/>
      <c r="F497" s="40"/>
      <c r="G497" s="31"/>
      <c r="H497" s="40"/>
      <c r="I497" s="31"/>
      <c r="J497" s="31"/>
    </row>
    <row r="498" spans="1:10" ht="22.05" customHeight="1" x14ac:dyDescent="0.45">
      <c r="A498" s="39"/>
      <c r="B498" s="29"/>
      <c r="C498" s="29"/>
      <c r="D498" s="29"/>
      <c r="E498" s="29"/>
      <c r="F498" s="40"/>
      <c r="G498" s="29"/>
      <c r="H498" s="40"/>
      <c r="I498" s="29"/>
      <c r="J498" s="29"/>
    </row>
    <row r="499" spans="1:10" ht="22.05" customHeight="1" x14ac:dyDescent="0.45">
      <c r="A499" s="41"/>
      <c r="B499" s="31"/>
      <c r="C499" s="31"/>
      <c r="D499" s="31"/>
      <c r="E499" s="31"/>
      <c r="F499" s="40"/>
      <c r="G499" s="31"/>
      <c r="H499" s="40"/>
      <c r="I499" s="31"/>
      <c r="J499" s="31"/>
    </row>
    <row r="500" spans="1:10" ht="22.05" customHeight="1" x14ac:dyDescent="0.45">
      <c r="A500" s="39"/>
      <c r="B500" s="29"/>
      <c r="C500" s="29"/>
      <c r="D500" s="29"/>
      <c r="E500" s="29"/>
      <c r="F500" s="40"/>
      <c r="G500" s="29"/>
      <c r="H500" s="40"/>
      <c r="I500" s="29"/>
      <c r="J500" s="29"/>
    </row>
    <row r="501" spans="1:10" ht="22.05" customHeight="1" x14ac:dyDescent="0.45">
      <c r="A501" s="41"/>
      <c r="B501" s="31"/>
      <c r="C501" s="31"/>
      <c r="D501" s="31"/>
      <c r="E501" s="31"/>
      <c r="F501" s="40"/>
      <c r="G501" s="31"/>
      <c r="H501" s="40"/>
      <c r="I501" s="31"/>
      <c r="J501" s="31"/>
    </row>
    <row r="502" spans="1:10" ht="22.05" customHeight="1" x14ac:dyDescent="0.45">
      <c r="A502" s="39"/>
      <c r="B502" s="29"/>
      <c r="C502" s="29"/>
      <c r="D502" s="29"/>
      <c r="E502" s="29"/>
      <c r="F502" s="40"/>
      <c r="G502" s="29"/>
      <c r="H502" s="40"/>
      <c r="I502" s="29"/>
      <c r="J502" s="29"/>
    </row>
    <row r="503" spans="1:10" ht="22.05" customHeight="1" x14ac:dyDescent="0.45">
      <c r="A503" s="41"/>
      <c r="B503" s="31"/>
      <c r="C503" s="31"/>
      <c r="D503" s="31"/>
      <c r="E503" s="31"/>
      <c r="F503" s="40"/>
      <c r="G503" s="31"/>
      <c r="H503" s="40"/>
      <c r="I503" s="31"/>
      <c r="J503" s="31"/>
    </row>
    <row r="504" spans="1:10" ht="22.05" customHeight="1" x14ac:dyDescent="0.45">
      <c r="A504" s="39"/>
      <c r="B504" s="29"/>
      <c r="C504" s="29"/>
      <c r="D504" s="29"/>
      <c r="E504" s="29"/>
      <c r="F504" s="40"/>
      <c r="G504" s="29"/>
      <c r="H504" s="40"/>
      <c r="I504" s="29"/>
      <c r="J504" s="29"/>
    </row>
    <row r="505" spans="1:10" ht="22.05" customHeight="1" x14ac:dyDescent="0.45">
      <c r="A505" s="41"/>
      <c r="B505" s="31"/>
      <c r="C505" s="31"/>
      <c r="D505" s="31"/>
      <c r="E505" s="31"/>
      <c r="F505" s="40"/>
      <c r="G505" s="31"/>
      <c r="H505" s="40"/>
      <c r="I505" s="31"/>
      <c r="J505" s="31"/>
    </row>
    <row r="506" spans="1:10" ht="22.05" customHeight="1" x14ac:dyDescent="0.45">
      <c r="A506" s="39"/>
      <c r="B506" s="29"/>
      <c r="C506" s="29"/>
      <c r="D506" s="29"/>
      <c r="E506" s="29"/>
      <c r="F506" s="40"/>
      <c r="G506" s="29"/>
      <c r="H506" s="40"/>
      <c r="I506" s="29"/>
      <c r="J506" s="29"/>
    </row>
    <row r="507" spans="1:10" ht="22.05" customHeight="1" x14ac:dyDescent="0.45">
      <c r="A507" s="41"/>
      <c r="B507" s="31"/>
      <c r="C507" s="31"/>
      <c r="D507" s="31"/>
      <c r="E507" s="31"/>
      <c r="F507" s="40"/>
      <c r="G507" s="31"/>
      <c r="H507" s="40"/>
      <c r="I507" s="31"/>
      <c r="J507" s="31"/>
    </row>
    <row r="508" spans="1:10" ht="22.05" customHeight="1" x14ac:dyDescent="0.45">
      <c r="A508" s="39"/>
      <c r="B508" s="29"/>
      <c r="C508" s="29"/>
      <c r="D508" s="29"/>
      <c r="E508" s="29"/>
      <c r="F508" s="40"/>
      <c r="G508" s="29"/>
      <c r="H508" s="40"/>
      <c r="I508" s="29"/>
      <c r="J508" s="29"/>
    </row>
    <row r="509" spans="1:10" ht="22.05" customHeight="1" x14ac:dyDescent="0.45">
      <c r="A509" s="41"/>
      <c r="B509" s="31"/>
      <c r="C509" s="31"/>
      <c r="D509" s="31"/>
      <c r="E509" s="31"/>
      <c r="F509" s="40"/>
      <c r="G509" s="31"/>
      <c r="H509" s="40"/>
      <c r="I509" s="31"/>
      <c r="J509" s="31"/>
    </row>
    <row r="510" spans="1:10" ht="22.05" customHeight="1" x14ac:dyDescent="0.45">
      <c r="A510" s="39"/>
      <c r="B510" s="29"/>
      <c r="C510" s="29"/>
      <c r="D510" s="29"/>
      <c r="E510" s="29"/>
      <c r="F510" s="40"/>
      <c r="G510" s="29"/>
      <c r="H510" s="40"/>
      <c r="I510" s="29"/>
      <c r="J510" s="29"/>
    </row>
    <row r="511" spans="1:10" ht="22.05" customHeight="1" x14ac:dyDescent="0.45">
      <c r="A511" s="41"/>
      <c r="B511" s="31"/>
      <c r="C511" s="31"/>
      <c r="D511" s="31"/>
      <c r="E511" s="31"/>
      <c r="F511" s="40"/>
      <c r="G511" s="31"/>
      <c r="H511" s="40"/>
      <c r="I511" s="31"/>
      <c r="J511" s="31"/>
    </row>
    <row r="512" spans="1:10" ht="22.05" customHeight="1" x14ac:dyDescent="0.45">
      <c r="A512" s="39"/>
      <c r="B512" s="29"/>
      <c r="C512" s="29"/>
      <c r="D512" s="29"/>
      <c r="E512" s="29"/>
      <c r="F512" s="40"/>
      <c r="G512" s="29"/>
      <c r="H512" s="40"/>
      <c r="I512" s="29"/>
      <c r="J512" s="29"/>
    </row>
    <row r="513" spans="1:10" ht="22.05" customHeight="1" x14ac:dyDescent="0.45">
      <c r="A513" s="41"/>
      <c r="B513" s="31"/>
      <c r="C513" s="31"/>
      <c r="D513" s="31"/>
      <c r="E513" s="31"/>
      <c r="F513" s="40"/>
      <c r="G513" s="31"/>
      <c r="H513" s="40"/>
      <c r="I513" s="31"/>
      <c r="J513" s="31"/>
    </row>
    <row r="514" spans="1:10" ht="22.05" customHeight="1" x14ac:dyDescent="0.45">
      <c r="A514" s="39"/>
      <c r="B514" s="29"/>
      <c r="C514" s="29"/>
      <c r="D514" s="29"/>
      <c r="E514" s="29"/>
      <c r="F514" s="40"/>
      <c r="G514" s="29"/>
      <c r="H514" s="40"/>
      <c r="I514" s="29"/>
      <c r="J514" s="29"/>
    </row>
    <row r="515" spans="1:10" ht="22.05" customHeight="1" x14ac:dyDescent="0.45">
      <c r="A515" s="41"/>
      <c r="B515" s="31"/>
      <c r="C515" s="31"/>
      <c r="D515" s="31"/>
      <c r="E515" s="31"/>
      <c r="F515" s="40"/>
      <c r="G515" s="31"/>
      <c r="H515" s="40"/>
      <c r="I515" s="31"/>
      <c r="J515" s="31"/>
    </row>
    <row r="516" spans="1:10" ht="22.05" customHeight="1" x14ac:dyDescent="0.45">
      <c r="A516" s="39"/>
      <c r="B516" s="29"/>
      <c r="C516" s="29"/>
      <c r="D516" s="29"/>
      <c r="E516" s="29"/>
      <c r="F516" s="40"/>
      <c r="G516" s="29"/>
      <c r="H516" s="40"/>
      <c r="I516" s="29"/>
      <c r="J516" s="29"/>
    </row>
    <row r="517" spans="1:10" ht="22.05" customHeight="1" x14ac:dyDescent="0.45">
      <c r="A517" s="41"/>
      <c r="B517" s="31"/>
      <c r="C517" s="31"/>
      <c r="D517" s="31"/>
      <c r="E517" s="31"/>
      <c r="F517" s="40"/>
      <c r="G517" s="31"/>
      <c r="H517" s="40"/>
      <c r="I517" s="31"/>
      <c r="J517" s="31"/>
    </row>
    <row r="518" spans="1:10" ht="22.05" customHeight="1" x14ac:dyDescent="0.45">
      <c r="A518" s="39"/>
      <c r="B518" s="29"/>
      <c r="C518" s="29"/>
      <c r="D518" s="29"/>
      <c r="E518" s="29"/>
      <c r="F518" s="40"/>
      <c r="G518" s="29"/>
      <c r="H518" s="40"/>
      <c r="I518" s="29"/>
      <c r="J518" s="29"/>
    </row>
    <row r="519" spans="1:10" ht="22.05" customHeight="1" x14ac:dyDescent="0.45">
      <c r="A519" s="41"/>
      <c r="B519" s="31"/>
      <c r="C519" s="31"/>
      <c r="D519" s="31"/>
      <c r="E519" s="31"/>
      <c r="F519" s="40"/>
      <c r="G519" s="31"/>
      <c r="H519" s="40"/>
      <c r="I519" s="31"/>
      <c r="J519" s="31"/>
    </row>
    <row r="520" spans="1:10" ht="22.05" customHeight="1" x14ac:dyDescent="0.45">
      <c r="A520" s="39"/>
      <c r="B520" s="29"/>
      <c r="C520" s="29"/>
      <c r="D520" s="29"/>
      <c r="E520" s="29"/>
      <c r="F520" s="40"/>
      <c r="G520" s="29"/>
      <c r="H520" s="40"/>
      <c r="I520" s="29"/>
      <c r="J520" s="29"/>
    </row>
    <row r="521" spans="1:10" ht="22.05" customHeight="1" x14ac:dyDescent="0.45">
      <c r="A521" s="41"/>
      <c r="B521" s="31"/>
      <c r="C521" s="31"/>
      <c r="D521" s="31"/>
      <c r="E521" s="31"/>
      <c r="F521" s="40"/>
      <c r="G521" s="31"/>
      <c r="H521" s="40"/>
      <c r="I521" s="31"/>
      <c r="J521" s="31"/>
    </row>
    <row r="522" spans="1:10" ht="22.05" customHeight="1" x14ac:dyDescent="0.45">
      <c r="A522" s="39"/>
      <c r="B522" s="29"/>
      <c r="C522" s="29"/>
      <c r="D522" s="29"/>
      <c r="E522" s="29"/>
      <c r="F522" s="40"/>
      <c r="G522" s="29"/>
      <c r="H522" s="40"/>
      <c r="I522" s="29"/>
      <c r="J522" s="29"/>
    </row>
    <row r="523" spans="1:10" ht="22.05" customHeight="1" x14ac:dyDescent="0.45">
      <c r="A523" s="41"/>
      <c r="B523" s="31"/>
      <c r="C523" s="31"/>
      <c r="D523" s="31"/>
      <c r="E523" s="31"/>
      <c r="F523" s="40"/>
      <c r="G523" s="31"/>
      <c r="H523" s="40"/>
      <c r="I523" s="31"/>
      <c r="J523" s="31"/>
    </row>
    <row r="524" spans="1:10" ht="22.05" customHeight="1" x14ac:dyDescent="0.45">
      <c r="A524" s="39"/>
      <c r="B524" s="29"/>
      <c r="C524" s="29"/>
      <c r="D524" s="29"/>
      <c r="E524" s="29"/>
      <c r="F524" s="40"/>
      <c r="G524" s="29"/>
      <c r="H524" s="40"/>
      <c r="I524" s="29"/>
      <c r="J524" s="29"/>
    </row>
    <row r="525" spans="1:10" ht="22.05" customHeight="1" x14ac:dyDescent="0.45">
      <c r="A525" s="41"/>
      <c r="B525" s="31"/>
      <c r="C525" s="31"/>
      <c r="D525" s="31"/>
      <c r="E525" s="31"/>
      <c r="F525" s="40"/>
      <c r="G525" s="31"/>
      <c r="H525" s="40"/>
      <c r="I525" s="31"/>
      <c r="J525" s="31"/>
    </row>
    <row r="526" spans="1:10" ht="22.05" customHeight="1" x14ac:dyDescent="0.45">
      <c r="A526" s="39"/>
      <c r="B526" s="29"/>
      <c r="C526" s="29"/>
      <c r="D526" s="29"/>
      <c r="E526" s="29"/>
      <c r="F526" s="40"/>
      <c r="G526" s="29"/>
      <c r="H526" s="40"/>
      <c r="I526" s="29"/>
      <c r="J526" s="29"/>
    </row>
    <row r="527" spans="1:10" ht="22.05" customHeight="1" x14ac:dyDescent="0.45">
      <c r="A527" s="41"/>
      <c r="B527" s="31"/>
      <c r="C527" s="31"/>
      <c r="D527" s="31"/>
      <c r="E527" s="31"/>
      <c r="F527" s="40"/>
      <c r="G527" s="31"/>
      <c r="H527" s="40"/>
      <c r="I527" s="31"/>
      <c r="J527" s="31"/>
    </row>
    <row r="528" spans="1:10" ht="22.05" customHeight="1" x14ac:dyDescent="0.45">
      <c r="A528" s="39"/>
      <c r="B528" s="29"/>
      <c r="C528" s="29"/>
      <c r="D528" s="29"/>
      <c r="E528" s="29"/>
      <c r="F528" s="40"/>
      <c r="G528" s="29"/>
      <c r="H528" s="40"/>
      <c r="I528" s="29"/>
      <c r="J528" s="29"/>
    </row>
    <row r="529" spans="1:10" ht="22.05" customHeight="1" x14ac:dyDescent="0.45">
      <c r="A529" s="41"/>
      <c r="B529" s="31"/>
      <c r="C529" s="31"/>
      <c r="D529" s="31"/>
      <c r="E529" s="31"/>
      <c r="F529" s="40"/>
      <c r="G529" s="31"/>
      <c r="H529" s="40"/>
      <c r="I529" s="31"/>
      <c r="J529" s="31"/>
    </row>
    <row r="530" spans="1:10" ht="22.05" customHeight="1" x14ac:dyDescent="0.45">
      <c r="A530" s="39"/>
      <c r="B530" s="29"/>
      <c r="C530" s="29"/>
      <c r="D530" s="29"/>
      <c r="E530" s="29"/>
      <c r="F530" s="40"/>
      <c r="G530" s="29"/>
      <c r="H530" s="40"/>
      <c r="I530" s="29"/>
      <c r="J530" s="29"/>
    </row>
    <row r="531" spans="1:10" ht="22.05" customHeight="1" x14ac:dyDescent="0.45">
      <c r="A531" s="41"/>
      <c r="B531" s="31"/>
      <c r="C531" s="31"/>
      <c r="D531" s="31"/>
      <c r="E531" s="31"/>
      <c r="F531" s="40"/>
      <c r="G531" s="31"/>
      <c r="H531" s="40"/>
      <c r="I531" s="31"/>
      <c r="J531" s="31"/>
    </row>
    <row r="532" spans="1:10" ht="22.05" customHeight="1" x14ac:dyDescent="0.45">
      <c r="A532" s="39"/>
      <c r="B532" s="29"/>
      <c r="C532" s="29"/>
      <c r="D532" s="29"/>
      <c r="E532" s="29"/>
      <c r="F532" s="40"/>
      <c r="G532" s="29"/>
      <c r="H532" s="40"/>
      <c r="I532" s="29"/>
      <c r="J532" s="29"/>
    </row>
    <row r="533" spans="1:10" ht="22.05" customHeight="1" x14ac:dyDescent="0.45">
      <c r="A533" s="41"/>
      <c r="B533" s="31"/>
      <c r="C533" s="31"/>
      <c r="D533" s="31"/>
      <c r="E533" s="31"/>
      <c r="F533" s="40"/>
      <c r="G533" s="31"/>
      <c r="H533" s="40"/>
      <c r="I533" s="31"/>
      <c r="J533" s="31"/>
    </row>
    <row r="534" spans="1:10" ht="22.05" customHeight="1" x14ac:dyDescent="0.45">
      <c r="A534" s="39"/>
      <c r="B534" s="29"/>
      <c r="C534" s="29"/>
      <c r="D534" s="29"/>
      <c r="E534" s="29"/>
      <c r="F534" s="40"/>
      <c r="G534" s="29"/>
      <c r="H534" s="40"/>
      <c r="I534" s="29"/>
      <c r="J534" s="29"/>
    </row>
    <row r="535" spans="1:10" ht="22.05" customHeight="1" x14ac:dyDescent="0.45">
      <c r="A535" s="41"/>
      <c r="B535" s="31"/>
      <c r="C535" s="31"/>
      <c r="D535" s="31"/>
      <c r="E535" s="31"/>
      <c r="F535" s="40"/>
      <c r="G535" s="31"/>
      <c r="H535" s="40"/>
      <c r="I535" s="31"/>
      <c r="J535" s="31"/>
    </row>
    <row r="536" spans="1:10" ht="22.05" customHeight="1" x14ac:dyDescent="0.45">
      <c r="A536" s="39"/>
      <c r="B536" s="29"/>
      <c r="C536" s="29"/>
      <c r="D536" s="29"/>
      <c r="E536" s="29"/>
      <c r="F536" s="40"/>
      <c r="G536" s="29"/>
      <c r="H536" s="40"/>
      <c r="I536" s="29"/>
      <c r="J536" s="29"/>
    </row>
    <row r="537" spans="1:10" ht="22.05" customHeight="1" x14ac:dyDescent="0.45">
      <c r="A537" s="41"/>
      <c r="B537" s="31"/>
      <c r="C537" s="31"/>
      <c r="D537" s="31"/>
      <c r="E537" s="31"/>
      <c r="F537" s="40"/>
      <c r="G537" s="31"/>
      <c r="H537" s="40"/>
      <c r="I537" s="31"/>
      <c r="J537" s="31"/>
    </row>
    <row r="538" spans="1:10" ht="22.05" customHeight="1" x14ac:dyDescent="0.45">
      <c r="A538" s="39"/>
      <c r="B538" s="29"/>
      <c r="C538" s="29"/>
      <c r="D538" s="29"/>
      <c r="E538" s="29"/>
      <c r="F538" s="40"/>
      <c r="G538" s="29"/>
      <c r="H538" s="40"/>
      <c r="I538" s="29"/>
      <c r="J538" s="29"/>
    </row>
    <row r="539" spans="1:10" ht="22.05" customHeight="1" x14ac:dyDescent="0.45">
      <c r="A539" s="41"/>
      <c r="B539" s="31"/>
      <c r="C539" s="31"/>
      <c r="D539" s="31"/>
      <c r="E539" s="31"/>
      <c r="F539" s="40"/>
      <c r="G539" s="31"/>
      <c r="H539" s="40"/>
      <c r="I539" s="31"/>
      <c r="J539" s="31"/>
    </row>
    <row r="540" spans="1:10" ht="22.05" customHeight="1" x14ac:dyDescent="0.45">
      <c r="A540" s="39"/>
      <c r="B540" s="29"/>
      <c r="C540" s="29"/>
      <c r="D540" s="29"/>
      <c r="E540" s="29"/>
      <c r="F540" s="40"/>
      <c r="G540" s="29"/>
      <c r="H540" s="40"/>
      <c r="I540" s="29"/>
      <c r="J540" s="29"/>
    </row>
    <row r="541" spans="1:10" ht="22.05" customHeight="1" x14ac:dyDescent="0.45">
      <c r="A541" s="41"/>
      <c r="B541" s="31"/>
      <c r="C541" s="31"/>
      <c r="D541" s="31"/>
      <c r="E541" s="31"/>
      <c r="F541" s="40"/>
      <c r="G541" s="31"/>
      <c r="H541" s="40"/>
      <c r="I541" s="31"/>
      <c r="J541" s="31"/>
    </row>
    <row r="542" spans="1:10" ht="22.05" customHeight="1" x14ac:dyDescent="0.45">
      <c r="A542" s="39"/>
      <c r="B542" s="29"/>
      <c r="C542" s="29"/>
      <c r="D542" s="29"/>
      <c r="E542" s="29"/>
      <c r="F542" s="40"/>
      <c r="G542" s="29"/>
      <c r="H542" s="40"/>
      <c r="I542" s="29"/>
      <c r="J542" s="29"/>
    </row>
    <row r="543" spans="1:10" ht="22.05" customHeight="1" x14ac:dyDescent="0.45">
      <c r="A543" s="41"/>
      <c r="B543" s="31"/>
      <c r="C543" s="31"/>
      <c r="D543" s="31"/>
      <c r="E543" s="31"/>
      <c r="F543" s="40"/>
      <c r="G543" s="31"/>
      <c r="H543" s="40"/>
      <c r="I543" s="31"/>
      <c r="J543" s="31"/>
    </row>
    <row r="544" spans="1:10" ht="22.05" customHeight="1" x14ac:dyDescent="0.45">
      <c r="A544" s="39"/>
      <c r="B544" s="29"/>
      <c r="C544" s="29"/>
      <c r="D544" s="29"/>
      <c r="E544" s="29"/>
      <c r="F544" s="40"/>
      <c r="G544" s="29"/>
      <c r="H544" s="40"/>
      <c r="I544" s="29"/>
      <c r="J544" s="29"/>
    </row>
    <row r="545" spans="1:10" ht="22.05" customHeight="1" x14ac:dyDescent="0.45">
      <c r="A545" s="41"/>
      <c r="B545" s="31"/>
      <c r="C545" s="31"/>
      <c r="D545" s="31"/>
      <c r="E545" s="31"/>
      <c r="F545" s="40"/>
      <c r="G545" s="31"/>
      <c r="H545" s="40"/>
      <c r="I545" s="31"/>
      <c r="J545" s="31"/>
    </row>
    <row r="546" spans="1:10" ht="22.05" customHeight="1" x14ac:dyDescent="0.45">
      <c r="A546" s="39"/>
      <c r="B546" s="29"/>
      <c r="C546" s="29"/>
      <c r="D546" s="29"/>
      <c r="E546" s="29"/>
      <c r="F546" s="40"/>
      <c r="G546" s="29"/>
      <c r="H546" s="40"/>
      <c r="I546" s="29"/>
      <c r="J546" s="29"/>
    </row>
    <row r="547" spans="1:10" ht="22.05" customHeight="1" x14ac:dyDescent="0.45">
      <c r="A547" s="41"/>
      <c r="B547" s="31"/>
      <c r="C547" s="31"/>
      <c r="D547" s="31"/>
      <c r="E547" s="31"/>
      <c r="F547" s="40"/>
      <c r="G547" s="31"/>
      <c r="H547" s="40"/>
      <c r="I547" s="31"/>
      <c r="J547" s="31"/>
    </row>
    <row r="548" spans="1:10" ht="22.05" customHeight="1" x14ac:dyDescent="0.45">
      <c r="A548" s="39"/>
      <c r="B548" s="29"/>
      <c r="C548" s="29"/>
      <c r="D548" s="29"/>
      <c r="E548" s="29"/>
      <c r="F548" s="40"/>
      <c r="G548" s="29"/>
      <c r="H548" s="40"/>
      <c r="I548" s="29"/>
      <c r="J548" s="29"/>
    </row>
    <row r="549" spans="1:10" ht="22.05" customHeight="1" x14ac:dyDescent="0.45">
      <c r="A549" s="41"/>
      <c r="B549" s="31"/>
      <c r="C549" s="31"/>
      <c r="D549" s="31"/>
      <c r="E549" s="31"/>
      <c r="F549" s="40"/>
      <c r="G549" s="31"/>
      <c r="H549" s="40"/>
      <c r="I549" s="31"/>
      <c r="J549" s="31"/>
    </row>
    <row r="550" spans="1:10" ht="22.05" customHeight="1" x14ac:dyDescent="0.45">
      <c r="A550" s="39"/>
      <c r="B550" s="29"/>
      <c r="C550" s="29"/>
      <c r="D550" s="29"/>
      <c r="E550" s="29"/>
      <c r="F550" s="40"/>
      <c r="G550" s="29"/>
      <c r="H550" s="40"/>
      <c r="I550" s="29"/>
      <c r="J550" s="29"/>
    </row>
    <row r="551" spans="1:10" ht="22.05" customHeight="1" x14ac:dyDescent="0.45">
      <c r="A551" s="41"/>
      <c r="B551" s="31"/>
      <c r="C551" s="31"/>
      <c r="D551" s="31"/>
      <c r="E551" s="31"/>
      <c r="F551" s="40"/>
      <c r="G551" s="31"/>
      <c r="H551" s="40"/>
      <c r="I551" s="31"/>
      <c r="J551" s="31"/>
    </row>
    <row r="552" spans="1:10" ht="22.05" customHeight="1" x14ac:dyDescent="0.45">
      <c r="A552" s="39"/>
      <c r="B552" s="29"/>
      <c r="C552" s="29"/>
      <c r="D552" s="29"/>
      <c r="E552" s="29"/>
      <c r="F552" s="40"/>
      <c r="G552" s="29"/>
      <c r="H552" s="40"/>
      <c r="I552" s="29"/>
      <c r="J552" s="29"/>
    </row>
    <row r="553" spans="1:10" ht="22.05" customHeight="1" x14ac:dyDescent="0.45">
      <c r="A553" s="41"/>
      <c r="B553" s="31"/>
      <c r="C553" s="31"/>
      <c r="D553" s="31"/>
      <c r="E553" s="31"/>
      <c r="F553" s="40"/>
      <c r="G553" s="31"/>
      <c r="H553" s="40"/>
      <c r="I553" s="31"/>
      <c r="J553" s="31"/>
    </row>
    <row r="554" spans="1:10" ht="22.05" customHeight="1" x14ac:dyDescent="0.45">
      <c r="A554" s="39"/>
      <c r="B554" s="29"/>
      <c r="C554" s="29"/>
      <c r="D554" s="29"/>
      <c r="E554" s="29"/>
      <c r="F554" s="40"/>
      <c r="G554" s="29"/>
      <c r="H554" s="40"/>
      <c r="I554" s="29"/>
      <c r="J554" s="29"/>
    </row>
    <row r="555" spans="1:10" ht="22.05" customHeight="1" x14ac:dyDescent="0.45">
      <c r="A555" s="41"/>
      <c r="B555" s="31"/>
      <c r="C555" s="31"/>
      <c r="D555" s="31"/>
      <c r="E555" s="31"/>
      <c r="F555" s="40"/>
      <c r="G555" s="31"/>
      <c r="H555" s="40"/>
      <c r="I555" s="31"/>
      <c r="J555" s="31"/>
    </row>
    <row r="556" spans="1:10" ht="22.05" customHeight="1" x14ac:dyDescent="0.45">
      <c r="A556" s="39"/>
      <c r="B556" s="29"/>
      <c r="C556" s="29"/>
      <c r="D556" s="29"/>
      <c r="E556" s="29"/>
      <c r="F556" s="40"/>
      <c r="G556" s="29"/>
      <c r="H556" s="40"/>
      <c r="I556" s="29"/>
      <c r="J556" s="29"/>
    </row>
    <row r="557" spans="1:10" ht="22.05" customHeight="1" x14ac:dyDescent="0.45">
      <c r="A557" s="41"/>
      <c r="B557" s="31"/>
      <c r="C557" s="31"/>
      <c r="D557" s="31"/>
      <c r="E557" s="31"/>
      <c r="F557" s="40"/>
      <c r="G557" s="31"/>
      <c r="H557" s="40"/>
      <c r="I557" s="31"/>
      <c r="J557" s="31"/>
    </row>
    <row r="558" spans="1:10" ht="22.05" customHeight="1" x14ac:dyDescent="0.45">
      <c r="A558" s="39"/>
      <c r="B558" s="29"/>
      <c r="C558" s="29"/>
      <c r="D558" s="29"/>
      <c r="E558" s="29"/>
      <c r="F558" s="40"/>
      <c r="G558" s="29"/>
      <c r="H558" s="40"/>
      <c r="I558" s="29"/>
      <c r="J558" s="29"/>
    </row>
    <row r="559" spans="1:10" ht="22.05" customHeight="1" x14ac:dyDescent="0.45">
      <c r="A559" s="41"/>
      <c r="B559" s="31"/>
      <c r="C559" s="31"/>
      <c r="D559" s="31"/>
      <c r="E559" s="31"/>
      <c r="F559" s="40"/>
      <c r="G559" s="31"/>
      <c r="H559" s="40"/>
      <c r="I559" s="31"/>
      <c r="J559" s="31"/>
    </row>
    <row r="560" spans="1:10" ht="22.05" customHeight="1" x14ac:dyDescent="0.45">
      <c r="A560" s="39"/>
      <c r="B560" s="29"/>
      <c r="C560" s="29"/>
      <c r="D560" s="29"/>
      <c r="E560" s="29"/>
      <c r="F560" s="40"/>
      <c r="G560" s="29"/>
      <c r="H560" s="40"/>
      <c r="I560" s="29"/>
      <c r="J560" s="29"/>
    </row>
    <row r="561" spans="1:10" ht="22.05" customHeight="1" x14ac:dyDescent="0.45">
      <c r="A561" s="41"/>
      <c r="B561" s="31"/>
      <c r="C561" s="31"/>
      <c r="D561" s="31"/>
      <c r="E561" s="31"/>
      <c r="F561" s="40"/>
      <c r="G561" s="31"/>
      <c r="H561" s="40"/>
      <c r="I561" s="31"/>
      <c r="J561" s="31"/>
    </row>
    <row r="562" spans="1:10" ht="22.05" customHeight="1" x14ac:dyDescent="0.45">
      <c r="A562" s="39"/>
      <c r="B562" s="29"/>
      <c r="C562" s="29"/>
      <c r="D562" s="29"/>
      <c r="E562" s="29"/>
      <c r="F562" s="40"/>
      <c r="G562" s="29"/>
      <c r="H562" s="40"/>
      <c r="I562" s="29"/>
      <c r="J562" s="29"/>
    </row>
    <row r="563" spans="1:10" ht="22.05" customHeight="1" x14ac:dyDescent="0.45">
      <c r="A563" s="41"/>
      <c r="B563" s="31"/>
      <c r="C563" s="31"/>
      <c r="D563" s="31"/>
      <c r="E563" s="31"/>
      <c r="F563" s="40"/>
      <c r="G563" s="31"/>
      <c r="H563" s="40"/>
      <c r="I563" s="31"/>
      <c r="J563" s="31"/>
    </row>
    <row r="564" spans="1:10" ht="22.05" customHeight="1" x14ac:dyDescent="0.45">
      <c r="A564" s="39"/>
      <c r="B564" s="29"/>
      <c r="C564" s="29"/>
      <c r="D564" s="29"/>
      <c r="E564" s="29"/>
      <c r="F564" s="40"/>
      <c r="G564" s="29"/>
      <c r="H564" s="40"/>
      <c r="I564" s="29"/>
      <c r="J564" s="29"/>
    </row>
    <row r="565" spans="1:10" ht="22.05" customHeight="1" x14ac:dyDescent="0.45">
      <c r="A565" s="41"/>
      <c r="B565" s="31"/>
      <c r="C565" s="31"/>
      <c r="D565" s="31"/>
      <c r="E565" s="31"/>
      <c r="F565" s="40"/>
      <c r="G565" s="31"/>
      <c r="H565" s="40"/>
      <c r="I565" s="31"/>
      <c r="J565" s="31"/>
    </row>
    <row r="566" spans="1:10" ht="22.05" customHeight="1" x14ac:dyDescent="0.45">
      <c r="A566" s="39"/>
      <c r="B566" s="29"/>
      <c r="C566" s="29"/>
      <c r="D566" s="29"/>
      <c r="E566" s="29"/>
      <c r="F566" s="40"/>
      <c r="G566" s="29"/>
      <c r="H566" s="40"/>
      <c r="I566" s="29"/>
      <c r="J566" s="29"/>
    </row>
    <row r="567" spans="1:10" ht="22.05" customHeight="1" x14ac:dyDescent="0.45">
      <c r="A567" s="41"/>
      <c r="B567" s="31"/>
      <c r="C567" s="31"/>
      <c r="D567" s="31"/>
      <c r="E567" s="31"/>
      <c r="F567" s="40"/>
      <c r="G567" s="31"/>
      <c r="H567" s="40"/>
      <c r="I567" s="31"/>
      <c r="J567" s="31"/>
    </row>
    <row r="568" spans="1:10" ht="22.05" customHeight="1" x14ac:dyDescent="0.45">
      <c r="A568" s="39"/>
      <c r="B568" s="29"/>
      <c r="C568" s="29"/>
      <c r="D568" s="29"/>
      <c r="E568" s="29"/>
      <c r="F568" s="40"/>
      <c r="G568" s="29"/>
      <c r="H568" s="40"/>
      <c r="I568" s="29"/>
      <c r="J568" s="29"/>
    </row>
    <row r="569" spans="1:10" ht="22.05" customHeight="1" x14ac:dyDescent="0.45">
      <c r="A569" s="41"/>
      <c r="B569" s="31"/>
      <c r="C569" s="31"/>
      <c r="D569" s="31"/>
      <c r="E569" s="31"/>
      <c r="F569" s="40"/>
      <c r="G569" s="31"/>
      <c r="H569" s="40"/>
      <c r="I569" s="31"/>
      <c r="J569" s="31"/>
    </row>
    <row r="570" spans="1:10" ht="22.05" customHeight="1" x14ac:dyDescent="0.45">
      <c r="A570" s="39"/>
      <c r="B570" s="29"/>
      <c r="C570" s="29"/>
      <c r="D570" s="29"/>
      <c r="E570" s="29"/>
      <c r="F570" s="40"/>
      <c r="G570" s="29"/>
      <c r="H570" s="40"/>
      <c r="I570" s="29"/>
      <c r="J570" s="29"/>
    </row>
    <row r="571" spans="1:10" ht="22.05" customHeight="1" x14ac:dyDescent="0.45">
      <c r="A571" s="41"/>
      <c r="B571" s="31"/>
      <c r="C571" s="31"/>
      <c r="D571" s="31"/>
      <c r="E571" s="31"/>
      <c r="F571" s="40"/>
      <c r="G571" s="31"/>
      <c r="H571" s="40"/>
      <c r="I571" s="31"/>
      <c r="J571" s="31"/>
    </row>
    <row r="572" spans="1:10" ht="22.05" customHeight="1" x14ac:dyDescent="0.45">
      <c r="A572" s="39"/>
      <c r="B572" s="29"/>
      <c r="C572" s="29"/>
      <c r="D572" s="29"/>
      <c r="E572" s="29"/>
      <c r="F572" s="40"/>
      <c r="G572" s="29"/>
      <c r="H572" s="40"/>
      <c r="I572" s="29"/>
      <c r="J572" s="29"/>
    </row>
    <row r="573" spans="1:10" ht="22.05" customHeight="1" x14ac:dyDescent="0.45">
      <c r="A573" s="41"/>
      <c r="B573" s="31"/>
      <c r="C573" s="31"/>
      <c r="D573" s="31"/>
      <c r="E573" s="31"/>
      <c r="F573" s="40"/>
      <c r="G573" s="31"/>
      <c r="H573" s="40"/>
      <c r="I573" s="31"/>
      <c r="J573" s="31"/>
    </row>
    <row r="574" spans="1:10" ht="22.05" customHeight="1" x14ac:dyDescent="0.45">
      <c r="A574" s="39"/>
      <c r="B574" s="29"/>
      <c r="C574" s="29"/>
      <c r="D574" s="29"/>
      <c r="E574" s="29"/>
      <c r="F574" s="40"/>
      <c r="G574" s="29"/>
      <c r="H574" s="40"/>
      <c r="I574" s="29"/>
      <c r="J574" s="29"/>
    </row>
    <row r="575" spans="1:10" ht="22.05" customHeight="1" x14ac:dyDescent="0.45">
      <c r="A575" s="41"/>
      <c r="B575" s="31"/>
      <c r="C575" s="31"/>
      <c r="D575" s="31"/>
      <c r="E575" s="31"/>
      <c r="F575" s="40"/>
      <c r="G575" s="31"/>
      <c r="H575" s="40"/>
      <c r="I575" s="31"/>
      <c r="J575" s="31"/>
    </row>
    <row r="576" spans="1:10" ht="22.05" customHeight="1" x14ac:dyDescent="0.45">
      <c r="A576" s="39"/>
      <c r="B576" s="29"/>
      <c r="C576" s="29"/>
      <c r="D576" s="29"/>
      <c r="E576" s="29"/>
      <c r="F576" s="40"/>
      <c r="G576" s="29"/>
      <c r="H576" s="40"/>
      <c r="I576" s="29"/>
      <c r="J576" s="29"/>
    </row>
    <row r="577" spans="1:10" ht="22.05" customHeight="1" x14ac:dyDescent="0.45">
      <c r="A577" s="41"/>
      <c r="B577" s="31"/>
      <c r="C577" s="31"/>
      <c r="D577" s="31"/>
      <c r="E577" s="31"/>
      <c r="F577" s="40"/>
      <c r="G577" s="31"/>
      <c r="H577" s="40"/>
      <c r="I577" s="31"/>
      <c r="J577" s="31"/>
    </row>
    <row r="578" spans="1:10" ht="22.05" customHeight="1" x14ac:dyDescent="0.45">
      <c r="A578" s="39"/>
      <c r="B578" s="29"/>
      <c r="C578" s="29"/>
      <c r="D578" s="29"/>
      <c r="E578" s="29"/>
      <c r="F578" s="40"/>
      <c r="G578" s="29"/>
      <c r="H578" s="40"/>
      <c r="I578" s="29"/>
      <c r="J578" s="29"/>
    </row>
    <row r="579" spans="1:10" ht="22.05" customHeight="1" x14ac:dyDescent="0.45">
      <c r="A579" s="41"/>
      <c r="B579" s="31"/>
      <c r="C579" s="31"/>
      <c r="D579" s="31"/>
      <c r="E579" s="31"/>
      <c r="F579" s="40"/>
      <c r="G579" s="31"/>
      <c r="H579" s="40"/>
      <c r="I579" s="31"/>
      <c r="J579" s="31"/>
    </row>
    <row r="580" spans="1:10" ht="22.05" customHeight="1" x14ac:dyDescent="0.45">
      <c r="A580" s="39"/>
      <c r="B580" s="29"/>
      <c r="C580" s="29"/>
      <c r="D580" s="29"/>
      <c r="E580" s="29"/>
      <c r="F580" s="40"/>
      <c r="G580" s="29"/>
      <c r="H580" s="40"/>
      <c r="I580" s="29"/>
      <c r="J580" s="29"/>
    </row>
    <row r="581" spans="1:10" ht="22.05" customHeight="1" x14ac:dyDescent="0.45">
      <c r="A581" s="41"/>
      <c r="B581" s="31"/>
      <c r="C581" s="31"/>
      <c r="D581" s="31"/>
      <c r="E581" s="31"/>
      <c r="F581" s="40"/>
      <c r="G581" s="31"/>
      <c r="H581" s="40"/>
      <c r="I581" s="31"/>
      <c r="J581" s="31"/>
    </row>
    <row r="582" spans="1:10" ht="22.05" customHeight="1" x14ac:dyDescent="0.45">
      <c r="A582" s="39"/>
      <c r="B582" s="29"/>
      <c r="C582" s="29"/>
      <c r="D582" s="29"/>
      <c r="E582" s="29"/>
      <c r="F582" s="40"/>
      <c r="G582" s="29"/>
      <c r="H582" s="40"/>
      <c r="I582" s="29"/>
      <c r="J582" s="29"/>
    </row>
    <row r="583" spans="1:10" ht="22.05" customHeight="1" x14ac:dyDescent="0.45">
      <c r="A583" s="41"/>
      <c r="B583" s="31"/>
      <c r="C583" s="31"/>
      <c r="D583" s="31"/>
      <c r="E583" s="31"/>
      <c r="F583" s="40"/>
      <c r="G583" s="31"/>
      <c r="H583" s="40"/>
      <c r="I583" s="31"/>
      <c r="J583" s="31"/>
    </row>
    <row r="584" spans="1:10" ht="22.05" customHeight="1" x14ac:dyDescent="0.45">
      <c r="A584" s="39"/>
      <c r="B584" s="29"/>
      <c r="C584" s="29"/>
      <c r="D584" s="29"/>
      <c r="E584" s="29"/>
      <c r="F584" s="40"/>
      <c r="G584" s="29"/>
      <c r="H584" s="40"/>
      <c r="I584" s="29"/>
      <c r="J584" s="29"/>
    </row>
    <row r="585" spans="1:10" ht="22.05" customHeight="1" x14ac:dyDescent="0.45">
      <c r="A585" s="41"/>
      <c r="B585" s="31"/>
      <c r="C585" s="31"/>
      <c r="D585" s="31"/>
      <c r="E585" s="31"/>
      <c r="F585" s="40"/>
      <c r="G585" s="31"/>
      <c r="H585" s="40"/>
      <c r="I585" s="31"/>
      <c r="J585" s="31"/>
    </row>
    <row r="586" spans="1:10" ht="22.05" customHeight="1" x14ac:dyDescent="0.45">
      <c r="A586" s="39"/>
      <c r="B586" s="29"/>
      <c r="C586" s="29"/>
      <c r="D586" s="29"/>
      <c r="E586" s="29"/>
      <c r="F586" s="40"/>
      <c r="G586" s="29"/>
      <c r="H586" s="40"/>
      <c r="I586" s="29"/>
      <c r="J586" s="29"/>
    </row>
    <row r="587" spans="1:10" ht="22.05" customHeight="1" x14ac:dyDescent="0.45">
      <c r="A587" s="41"/>
      <c r="B587" s="31"/>
      <c r="C587" s="31"/>
      <c r="D587" s="31"/>
      <c r="E587" s="31"/>
      <c r="F587" s="40"/>
      <c r="G587" s="31"/>
      <c r="H587" s="40"/>
      <c r="I587" s="31"/>
      <c r="J587" s="31"/>
    </row>
    <row r="588" spans="1:10" ht="22.05" customHeight="1" x14ac:dyDescent="0.45">
      <c r="A588" s="39"/>
      <c r="B588" s="29"/>
      <c r="C588" s="29"/>
      <c r="D588" s="29"/>
      <c r="E588" s="29"/>
      <c r="F588" s="40"/>
      <c r="G588" s="29"/>
      <c r="H588" s="40"/>
      <c r="I588" s="29"/>
      <c r="J588" s="29"/>
    </row>
    <row r="589" spans="1:10" ht="22.05" customHeight="1" x14ac:dyDescent="0.45">
      <c r="A589" s="41"/>
      <c r="B589" s="31"/>
      <c r="C589" s="31"/>
      <c r="D589" s="31"/>
      <c r="E589" s="31"/>
      <c r="F589" s="40"/>
      <c r="G589" s="31"/>
      <c r="H589" s="40"/>
      <c r="I589" s="31"/>
      <c r="J589" s="31"/>
    </row>
    <row r="590" spans="1:10" ht="22.05" customHeight="1" x14ac:dyDescent="0.45">
      <c r="A590" s="39"/>
      <c r="B590" s="29"/>
      <c r="C590" s="29"/>
      <c r="D590" s="29"/>
      <c r="E590" s="29"/>
      <c r="F590" s="40"/>
      <c r="G590" s="29"/>
      <c r="H590" s="40"/>
      <c r="I590" s="29"/>
      <c r="J590" s="29"/>
    </row>
    <row r="591" spans="1:10" ht="22.05" customHeight="1" x14ac:dyDescent="0.45">
      <c r="A591" s="41"/>
      <c r="B591" s="31"/>
      <c r="C591" s="31"/>
      <c r="D591" s="31"/>
      <c r="E591" s="31"/>
      <c r="F591" s="40"/>
      <c r="G591" s="31"/>
      <c r="H591" s="40"/>
      <c r="I591" s="31"/>
      <c r="J591" s="31"/>
    </row>
    <row r="592" spans="1:10" ht="22.05" customHeight="1" x14ac:dyDescent="0.45">
      <c r="A592" s="39"/>
      <c r="B592" s="29"/>
      <c r="C592" s="29"/>
      <c r="D592" s="29"/>
      <c r="E592" s="29"/>
      <c r="F592" s="40"/>
      <c r="G592" s="29"/>
      <c r="H592" s="40"/>
      <c r="I592" s="29"/>
      <c r="J592" s="29"/>
    </row>
    <row r="593" spans="1:10" ht="22.05" customHeight="1" x14ac:dyDescent="0.45">
      <c r="A593" s="41"/>
      <c r="B593" s="31"/>
      <c r="C593" s="31"/>
      <c r="D593" s="31"/>
      <c r="E593" s="31"/>
      <c r="F593" s="40"/>
      <c r="G593" s="31"/>
      <c r="H593" s="40"/>
      <c r="I593" s="31"/>
      <c r="J593" s="31"/>
    </row>
    <row r="594" spans="1:10" ht="22.05" customHeight="1" x14ac:dyDescent="0.45">
      <c r="A594" s="39"/>
      <c r="B594" s="29"/>
      <c r="C594" s="29"/>
      <c r="D594" s="29"/>
      <c r="E594" s="29"/>
      <c r="F594" s="40"/>
      <c r="G594" s="29"/>
      <c r="H594" s="40"/>
      <c r="I594" s="29"/>
      <c r="J594" s="29"/>
    </row>
    <row r="595" spans="1:10" ht="22.05" customHeight="1" x14ac:dyDescent="0.45">
      <c r="A595" s="41"/>
      <c r="B595" s="31"/>
      <c r="C595" s="31"/>
      <c r="D595" s="31"/>
      <c r="E595" s="31"/>
      <c r="F595" s="40"/>
      <c r="G595" s="31"/>
      <c r="H595" s="40"/>
      <c r="I595" s="31"/>
      <c r="J595" s="31"/>
    </row>
    <row r="596" spans="1:10" ht="22.05" customHeight="1" x14ac:dyDescent="0.45">
      <c r="A596" s="39"/>
      <c r="B596" s="29"/>
      <c r="C596" s="29"/>
      <c r="D596" s="29"/>
      <c r="E596" s="29"/>
      <c r="F596" s="40"/>
      <c r="G596" s="29"/>
      <c r="H596" s="40"/>
      <c r="I596" s="29"/>
      <c r="J596" s="29"/>
    </row>
    <row r="597" spans="1:10" ht="22.05" customHeight="1" x14ac:dyDescent="0.45">
      <c r="A597" s="41"/>
      <c r="B597" s="31"/>
      <c r="C597" s="31"/>
      <c r="D597" s="31"/>
      <c r="E597" s="31"/>
      <c r="F597" s="40"/>
      <c r="G597" s="31"/>
      <c r="H597" s="40"/>
      <c r="I597" s="31"/>
      <c r="J597" s="31"/>
    </row>
    <row r="598" spans="1:10" ht="22.05" customHeight="1" x14ac:dyDescent="0.45">
      <c r="A598" s="39"/>
      <c r="B598" s="29"/>
      <c r="C598" s="29"/>
      <c r="D598" s="29"/>
      <c r="E598" s="29"/>
      <c r="F598" s="40"/>
      <c r="G598" s="29"/>
      <c r="H598" s="40"/>
      <c r="I598" s="29"/>
      <c r="J598" s="29"/>
    </row>
    <row r="599" spans="1:10" ht="22.05" customHeight="1" x14ac:dyDescent="0.45">
      <c r="A599" s="41"/>
      <c r="B599" s="31"/>
      <c r="C599" s="31"/>
      <c r="D599" s="31"/>
      <c r="E599" s="31"/>
      <c r="F599" s="40"/>
      <c r="G599" s="31"/>
      <c r="H599" s="40"/>
      <c r="I599" s="31"/>
      <c r="J599" s="31"/>
    </row>
    <row r="600" spans="1:10" ht="22.05" customHeight="1" x14ac:dyDescent="0.45">
      <c r="A600" s="39"/>
      <c r="B600" s="29"/>
      <c r="C600" s="29"/>
      <c r="D600" s="29"/>
      <c r="E600" s="29"/>
      <c r="F600" s="40"/>
      <c r="G600" s="29"/>
      <c r="H600" s="40"/>
      <c r="I600" s="29"/>
      <c r="J600" s="29"/>
    </row>
    <row r="601" spans="1:10" ht="22.05" customHeight="1" x14ac:dyDescent="0.45">
      <c r="A601" s="41"/>
      <c r="B601" s="31"/>
      <c r="C601" s="31"/>
      <c r="D601" s="31"/>
      <c r="E601" s="31"/>
      <c r="F601" s="40"/>
      <c r="G601" s="31"/>
      <c r="H601" s="40"/>
      <c r="I601" s="31"/>
      <c r="J601" s="31"/>
    </row>
    <row r="602" spans="1:10" ht="22.05" customHeight="1" x14ac:dyDescent="0.45">
      <c r="A602" s="39"/>
      <c r="B602" s="29"/>
      <c r="C602" s="29"/>
      <c r="D602" s="29"/>
      <c r="E602" s="29"/>
      <c r="F602" s="40"/>
      <c r="G602" s="29"/>
      <c r="H602" s="40"/>
      <c r="I602" s="29"/>
      <c r="J602" s="29"/>
    </row>
    <row r="603" spans="1:10" ht="22.05" customHeight="1" x14ac:dyDescent="0.45">
      <c r="A603" s="41"/>
      <c r="B603" s="31"/>
      <c r="C603" s="31"/>
      <c r="D603" s="31"/>
      <c r="E603" s="31"/>
      <c r="F603" s="40"/>
      <c r="G603" s="31"/>
      <c r="H603" s="40"/>
      <c r="I603" s="31"/>
      <c r="J603" s="31"/>
    </row>
    <row r="604" spans="1:10" ht="22.05" customHeight="1" x14ac:dyDescent="0.45">
      <c r="A604" s="39"/>
      <c r="B604" s="29"/>
      <c r="C604" s="29"/>
      <c r="D604" s="29"/>
      <c r="E604" s="29"/>
      <c r="F604" s="40"/>
      <c r="G604" s="29"/>
      <c r="H604" s="40"/>
      <c r="I604" s="29"/>
      <c r="J604" s="29"/>
    </row>
    <row r="605" spans="1:10" ht="22.05" customHeight="1" x14ac:dyDescent="0.45">
      <c r="A605" s="41"/>
      <c r="B605" s="31"/>
      <c r="C605" s="31"/>
      <c r="D605" s="31"/>
      <c r="E605" s="31"/>
      <c r="F605" s="40"/>
      <c r="G605" s="31"/>
      <c r="H605" s="40"/>
      <c r="I605" s="31"/>
      <c r="J605" s="31"/>
    </row>
    <row r="606" spans="1:10" ht="22.05" customHeight="1" x14ac:dyDescent="0.45">
      <c r="A606" s="39"/>
      <c r="B606" s="29"/>
      <c r="C606" s="29"/>
      <c r="D606" s="29"/>
      <c r="E606" s="29"/>
      <c r="F606" s="40"/>
      <c r="G606" s="29"/>
      <c r="H606" s="40"/>
      <c r="I606" s="29"/>
      <c r="J606" s="29"/>
    </row>
    <row r="607" spans="1:10" ht="22.05" customHeight="1" x14ac:dyDescent="0.45">
      <c r="A607" s="41"/>
      <c r="B607" s="31"/>
      <c r="C607" s="31"/>
      <c r="D607" s="31"/>
      <c r="E607" s="31"/>
      <c r="F607" s="40"/>
      <c r="G607" s="31"/>
      <c r="H607" s="40"/>
      <c r="I607" s="31"/>
      <c r="J607" s="31"/>
    </row>
    <row r="608" spans="1:10" ht="22.05" customHeight="1" x14ac:dyDescent="0.45">
      <c r="A608" s="39"/>
      <c r="B608" s="29"/>
      <c r="C608" s="29"/>
      <c r="D608" s="29"/>
      <c r="E608" s="29"/>
      <c r="F608" s="40"/>
      <c r="G608" s="29"/>
      <c r="H608" s="40"/>
      <c r="I608" s="29"/>
      <c r="J608" s="29"/>
    </row>
    <row r="609" spans="1:10" ht="22.05" customHeight="1" x14ac:dyDescent="0.45">
      <c r="A609" s="41"/>
      <c r="B609" s="31"/>
      <c r="C609" s="31"/>
      <c r="D609" s="31"/>
      <c r="E609" s="31"/>
      <c r="F609" s="40"/>
      <c r="G609" s="31"/>
      <c r="H609" s="40"/>
      <c r="I609" s="31"/>
      <c r="J609" s="31"/>
    </row>
    <row r="610" spans="1:10" ht="22.05" customHeight="1" x14ac:dyDescent="0.45">
      <c r="A610" s="39"/>
      <c r="B610" s="29"/>
      <c r="C610" s="29"/>
      <c r="D610" s="29"/>
      <c r="E610" s="29"/>
      <c r="F610" s="40"/>
      <c r="G610" s="29"/>
      <c r="H610" s="40"/>
      <c r="I610" s="29"/>
      <c r="J610" s="29"/>
    </row>
    <row r="611" spans="1:10" ht="22.05" customHeight="1" x14ac:dyDescent="0.45">
      <c r="A611" s="41"/>
      <c r="B611" s="31"/>
      <c r="C611" s="31"/>
      <c r="D611" s="31"/>
      <c r="E611" s="31"/>
      <c r="F611" s="40"/>
      <c r="G611" s="31"/>
      <c r="H611" s="40"/>
      <c r="I611" s="31"/>
      <c r="J611" s="31"/>
    </row>
    <row r="612" spans="1:10" ht="22.05" customHeight="1" x14ac:dyDescent="0.45">
      <c r="A612" s="39"/>
      <c r="B612" s="29"/>
      <c r="C612" s="29"/>
      <c r="D612" s="29"/>
      <c r="E612" s="29"/>
      <c r="F612" s="40"/>
      <c r="G612" s="29"/>
      <c r="H612" s="40"/>
      <c r="I612" s="29"/>
      <c r="J612" s="29"/>
    </row>
    <row r="613" spans="1:10" ht="22.05" customHeight="1" x14ac:dyDescent="0.45">
      <c r="A613" s="41"/>
      <c r="B613" s="31"/>
      <c r="C613" s="31"/>
      <c r="D613" s="31"/>
      <c r="E613" s="31"/>
      <c r="F613" s="40"/>
      <c r="G613" s="31"/>
      <c r="H613" s="40"/>
      <c r="I613" s="31"/>
      <c r="J613" s="31"/>
    </row>
    <row r="614" spans="1:10" ht="22.05" customHeight="1" x14ac:dyDescent="0.45">
      <c r="A614" s="39"/>
      <c r="B614" s="29"/>
      <c r="C614" s="29"/>
      <c r="D614" s="29"/>
      <c r="E614" s="29"/>
      <c r="F614" s="40"/>
      <c r="G614" s="29"/>
      <c r="H614" s="40"/>
      <c r="I614" s="29"/>
      <c r="J614" s="29"/>
    </row>
    <row r="615" spans="1:10" ht="22.05" customHeight="1" x14ac:dyDescent="0.45">
      <c r="A615" s="41"/>
      <c r="B615" s="31"/>
      <c r="C615" s="31"/>
      <c r="D615" s="31"/>
      <c r="E615" s="31"/>
      <c r="F615" s="40"/>
      <c r="G615" s="31"/>
      <c r="H615" s="40"/>
      <c r="I615" s="31"/>
      <c r="J615" s="31"/>
    </row>
    <row r="616" spans="1:10" ht="22.05" customHeight="1" x14ac:dyDescent="0.45">
      <c r="A616" s="39"/>
      <c r="B616" s="29"/>
      <c r="C616" s="29"/>
      <c r="D616" s="29"/>
      <c r="E616" s="29"/>
      <c r="F616" s="40"/>
      <c r="G616" s="29"/>
      <c r="H616" s="40"/>
      <c r="I616" s="29"/>
      <c r="J616" s="29"/>
    </row>
    <row r="617" spans="1:10" ht="22.05" customHeight="1" x14ac:dyDescent="0.45">
      <c r="A617" s="41"/>
      <c r="B617" s="31"/>
      <c r="C617" s="31"/>
      <c r="D617" s="31"/>
      <c r="E617" s="31"/>
      <c r="F617" s="40"/>
      <c r="G617" s="31"/>
      <c r="H617" s="40"/>
      <c r="I617" s="31"/>
      <c r="J617" s="31"/>
    </row>
    <row r="618" spans="1:10" ht="22.05" customHeight="1" x14ac:dyDescent="0.45">
      <c r="A618" s="39"/>
      <c r="B618" s="29"/>
      <c r="C618" s="29"/>
      <c r="D618" s="29"/>
      <c r="E618" s="29"/>
      <c r="F618" s="40"/>
      <c r="G618" s="29"/>
      <c r="H618" s="40"/>
      <c r="I618" s="29"/>
      <c r="J618" s="29"/>
    </row>
    <row r="619" spans="1:10" ht="22.05" customHeight="1" x14ac:dyDescent="0.45">
      <c r="A619" s="41"/>
      <c r="B619" s="31"/>
      <c r="C619" s="31"/>
      <c r="D619" s="31"/>
      <c r="E619" s="31"/>
      <c r="F619" s="40"/>
      <c r="G619" s="31"/>
      <c r="H619" s="40"/>
      <c r="I619" s="31"/>
      <c r="J619" s="31"/>
    </row>
    <row r="620" spans="1:10" ht="22.05" customHeight="1" x14ac:dyDescent="0.45">
      <c r="A620" s="39"/>
      <c r="B620" s="29"/>
      <c r="C620" s="29"/>
      <c r="D620" s="29"/>
      <c r="E620" s="29"/>
      <c r="F620" s="40"/>
      <c r="G620" s="29"/>
      <c r="H620" s="40"/>
      <c r="I620" s="29"/>
      <c r="J620" s="29"/>
    </row>
    <row r="621" spans="1:10" ht="22.05" customHeight="1" x14ac:dyDescent="0.45">
      <c r="A621" s="41"/>
      <c r="B621" s="31"/>
      <c r="C621" s="31"/>
      <c r="D621" s="31"/>
      <c r="E621" s="31"/>
      <c r="F621" s="40"/>
      <c r="G621" s="31"/>
      <c r="H621" s="40"/>
      <c r="I621" s="31"/>
      <c r="J621" s="31"/>
    </row>
    <row r="622" spans="1:10" ht="22.05" customHeight="1" x14ac:dyDescent="0.45">
      <c r="A622" s="39"/>
      <c r="B622" s="29"/>
      <c r="C622" s="29"/>
      <c r="D622" s="29"/>
      <c r="E622" s="29"/>
      <c r="F622" s="40"/>
      <c r="G622" s="29"/>
      <c r="H622" s="40"/>
      <c r="I622" s="29"/>
      <c r="J622" s="29"/>
    </row>
    <row r="623" spans="1:10" ht="22.05" customHeight="1" x14ac:dyDescent="0.45">
      <c r="A623" s="41"/>
      <c r="B623" s="31"/>
      <c r="C623" s="31"/>
      <c r="D623" s="31"/>
      <c r="E623" s="31"/>
      <c r="F623" s="40"/>
      <c r="G623" s="31"/>
      <c r="H623" s="40"/>
      <c r="I623" s="31"/>
      <c r="J623" s="31"/>
    </row>
    <row r="624" spans="1:10" ht="22.05" customHeight="1" x14ac:dyDescent="0.45">
      <c r="A624" s="39"/>
      <c r="B624" s="29"/>
      <c r="C624" s="29"/>
      <c r="D624" s="29"/>
      <c r="E624" s="29"/>
      <c r="F624" s="40"/>
      <c r="G624" s="29"/>
      <c r="H624" s="40"/>
      <c r="I624" s="29"/>
      <c r="J624" s="29"/>
    </row>
    <row r="625" spans="1:10" ht="22.05" customHeight="1" x14ac:dyDescent="0.45">
      <c r="A625" s="41"/>
      <c r="B625" s="31"/>
      <c r="C625" s="31"/>
      <c r="D625" s="31"/>
      <c r="E625" s="31"/>
      <c r="F625" s="40"/>
      <c r="G625" s="31"/>
      <c r="H625" s="40"/>
      <c r="I625" s="31"/>
      <c r="J625" s="31"/>
    </row>
    <row r="626" spans="1:10" ht="22.05" customHeight="1" x14ac:dyDescent="0.45">
      <c r="A626" s="39"/>
      <c r="B626" s="29"/>
      <c r="C626" s="29"/>
      <c r="D626" s="29"/>
      <c r="E626" s="29"/>
      <c r="F626" s="40"/>
      <c r="G626" s="29"/>
      <c r="H626" s="40"/>
      <c r="I626" s="29"/>
      <c r="J626" s="29"/>
    </row>
    <row r="627" spans="1:10" ht="22.05" customHeight="1" x14ac:dyDescent="0.45">
      <c r="A627" s="41"/>
      <c r="B627" s="31"/>
      <c r="C627" s="31"/>
      <c r="D627" s="31"/>
      <c r="E627" s="31"/>
      <c r="F627" s="40"/>
      <c r="G627" s="31"/>
      <c r="H627" s="40"/>
      <c r="I627" s="31"/>
      <c r="J627" s="31"/>
    </row>
    <row r="628" spans="1:10" ht="22.05" customHeight="1" x14ac:dyDescent="0.45">
      <c r="A628" s="39"/>
      <c r="B628" s="29"/>
      <c r="C628" s="29"/>
      <c r="D628" s="29"/>
      <c r="E628" s="29"/>
      <c r="F628" s="40"/>
      <c r="G628" s="29"/>
      <c r="H628" s="40"/>
      <c r="I628" s="29"/>
      <c r="J628" s="29"/>
    </row>
    <row r="629" spans="1:10" ht="22.05" customHeight="1" x14ac:dyDescent="0.45">
      <c r="A629" s="41"/>
      <c r="B629" s="31"/>
      <c r="C629" s="31"/>
      <c r="D629" s="31"/>
      <c r="E629" s="31"/>
      <c r="F629" s="40"/>
      <c r="G629" s="31"/>
      <c r="H629" s="40"/>
      <c r="I629" s="31"/>
      <c r="J629" s="31"/>
    </row>
    <row r="630" spans="1:10" ht="22.05" customHeight="1" x14ac:dyDescent="0.45">
      <c r="A630" s="39"/>
      <c r="B630" s="29"/>
      <c r="C630" s="29"/>
      <c r="D630" s="29"/>
      <c r="E630" s="29"/>
      <c r="F630" s="40"/>
      <c r="G630" s="29"/>
      <c r="H630" s="40"/>
      <c r="I630" s="29"/>
      <c r="J630" s="29"/>
    </row>
    <row r="631" spans="1:10" ht="22.05" customHeight="1" x14ac:dyDescent="0.45">
      <c r="A631" s="41"/>
      <c r="B631" s="31"/>
      <c r="C631" s="31"/>
      <c r="D631" s="31"/>
      <c r="E631" s="31"/>
      <c r="F631" s="40"/>
      <c r="G631" s="31"/>
      <c r="H631" s="40"/>
      <c r="I631" s="31"/>
      <c r="J631" s="31"/>
    </row>
    <row r="632" spans="1:10" ht="22.05" customHeight="1" x14ac:dyDescent="0.45">
      <c r="A632" s="39"/>
      <c r="B632" s="29"/>
      <c r="C632" s="29"/>
      <c r="D632" s="29"/>
      <c r="E632" s="29"/>
      <c r="F632" s="40"/>
      <c r="G632" s="29"/>
      <c r="H632" s="40"/>
      <c r="I632" s="29"/>
      <c r="J632" s="29"/>
    </row>
    <row r="633" spans="1:10" ht="22.05" customHeight="1" x14ac:dyDescent="0.45">
      <c r="A633" s="41"/>
      <c r="B633" s="31"/>
      <c r="C633" s="31"/>
      <c r="D633" s="31"/>
      <c r="E633" s="31"/>
      <c r="F633" s="40"/>
      <c r="G633" s="31"/>
      <c r="H633" s="40"/>
      <c r="I633" s="31"/>
      <c r="J633" s="31"/>
    </row>
    <row r="634" spans="1:10" ht="22.05" customHeight="1" x14ac:dyDescent="0.45">
      <c r="A634" s="39"/>
      <c r="B634" s="29"/>
      <c r="C634" s="29"/>
      <c r="D634" s="29"/>
      <c r="E634" s="29"/>
      <c r="F634" s="40"/>
      <c r="G634" s="29"/>
      <c r="H634" s="40"/>
      <c r="I634" s="29"/>
      <c r="J634" s="29"/>
    </row>
    <row r="635" spans="1:10" ht="22.05" customHeight="1" x14ac:dyDescent="0.45">
      <c r="A635" s="41"/>
      <c r="B635" s="31"/>
      <c r="C635" s="31"/>
      <c r="D635" s="31"/>
      <c r="E635" s="31"/>
      <c r="F635" s="40"/>
      <c r="G635" s="31"/>
      <c r="H635" s="40"/>
      <c r="I635" s="31"/>
      <c r="J635" s="31"/>
    </row>
    <row r="636" spans="1:10" ht="22.05" customHeight="1" x14ac:dyDescent="0.45">
      <c r="A636" s="39"/>
      <c r="B636" s="29"/>
      <c r="C636" s="29"/>
      <c r="D636" s="29"/>
      <c r="E636" s="29"/>
      <c r="F636" s="40"/>
      <c r="G636" s="29"/>
      <c r="H636" s="40"/>
      <c r="I636" s="29"/>
      <c r="J636" s="29"/>
    </row>
    <row r="637" spans="1:10" ht="22.05" customHeight="1" x14ac:dyDescent="0.45">
      <c r="A637" s="41"/>
      <c r="B637" s="31"/>
      <c r="C637" s="31"/>
      <c r="D637" s="31"/>
      <c r="E637" s="31"/>
      <c r="F637" s="40"/>
      <c r="G637" s="31"/>
      <c r="H637" s="40"/>
      <c r="I637" s="31"/>
      <c r="J637" s="31"/>
    </row>
    <row r="638" spans="1:10" ht="22.05" customHeight="1" x14ac:dyDescent="0.45">
      <c r="A638" s="39"/>
      <c r="B638" s="29"/>
      <c r="C638" s="29"/>
      <c r="D638" s="29"/>
      <c r="E638" s="29"/>
      <c r="F638" s="40"/>
      <c r="G638" s="29"/>
      <c r="H638" s="40"/>
      <c r="I638" s="29"/>
      <c r="J638" s="29"/>
    </row>
    <row r="639" spans="1:10" ht="22.05" customHeight="1" x14ac:dyDescent="0.45">
      <c r="A639" s="41"/>
      <c r="B639" s="31"/>
      <c r="C639" s="31"/>
      <c r="D639" s="31"/>
      <c r="E639" s="31"/>
      <c r="F639" s="40"/>
      <c r="G639" s="31"/>
      <c r="H639" s="40"/>
      <c r="I639" s="31"/>
      <c r="J639" s="31"/>
    </row>
    <row r="640" spans="1:10" ht="22.05" customHeight="1" x14ac:dyDescent="0.45">
      <c r="A640" s="39"/>
      <c r="B640" s="29"/>
      <c r="C640" s="29"/>
      <c r="D640" s="29"/>
      <c r="E640" s="29"/>
      <c r="F640" s="40"/>
      <c r="G640" s="29"/>
      <c r="H640" s="40"/>
      <c r="I640" s="29"/>
      <c r="J640" s="29"/>
    </row>
    <row r="641" spans="1:10" ht="22.05" customHeight="1" x14ac:dyDescent="0.45">
      <c r="A641" s="41"/>
      <c r="B641" s="31"/>
      <c r="C641" s="31"/>
      <c r="D641" s="31"/>
      <c r="E641" s="31"/>
      <c r="F641" s="40"/>
      <c r="G641" s="31"/>
      <c r="H641" s="40"/>
      <c r="I641" s="31"/>
      <c r="J641" s="31"/>
    </row>
    <row r="642" spans="1:10" ht="22.05" customHeight="1" x14ac:dyDescent="0.45">
      <c r="A642" s="39"/>
      <c r="B642" s="29"/>
      <c r="C642" s="29"/>
      <c r="D642" s="29"/>
      <c r="E642" s="29"/>
      <c r="F642" s="40"/>
      <c r="G642" s="29"/>
      <c r="H642" s="40"/>
      <c r="I642" s="29"/>
      <c r="J642" s="29"/>
    </row>
    <row r="643" spans="1:10" ht="22.05" customHeight="1" x14ac:dyDescent="0.45">
      <c r="A643" s="41"/>
      <c r="B643" s="31"/>
      <c r="C643" s="31"/>
      <c r="D643" s="31"/>
      <c r="E643" s="31"/>
      <c r="F643" s="40"/>
      <c r="G643" s="31"/>
      <c r="H643" s="40"/>
      <c r="I643" s="31"/>
      <c r="J643" s="31"/>
    </row>
    <row r="644" spans="1:10" ht="22.05" customHeight="1" x14ac:dyDescent="0.45">
      <c r="A644" s="39"/>
      <c r="B644" s="29"/>
      <c r="C644" s="29"/>
      <c r="D644" s="29"/>
      <c r="E644" s="29"/>
      <c r="F644" s="40"/>
      <c r="G644" s="29"/>
      <c r="H644" s="40"/>
      <c r="I644" s="29"/>
      <c r="J644" s="29"/>
    </row>
    <row r="645" spans="1:10" ht="22.05" customHeight="1" x14ac:dyDescent="0.45">
      <c r="A645" s="41"/>
      <c r="B645" s="31"/>
      <c r="C645" s="31"/>
      <c r="D645" s="31"/>
      <c r="E645" s="31"/>
      <c r="F645" s="40"/>
      <c r="G645" s="31"/>
      <c r="H645" s="40"/>
      <c r="I645" s="31"/>
      <c r="J645" s="31"/>
    </row>
    <row r="646" spans="1:10" ht="22.05" customHeight="1" x14ac:dyDescent="0.45">
      <c r="A646" s="39"/>
      <c r="B646" s="29"/>
      <c r="C646" s="29"/>
      <c r="D646" s="29"/>
      <c r="E646" s="29"/>
      <c r="F646" s="40"/>
      <c r="G646" s="29"/>
      <c r="H646" s="40"/>
      <c r="I646" s="29"/>
      <c r="J646" s="29"/>
    </row>
    <row r="647" spans="1:10" ht="22.05" customHeight="1" x14ac:dyDescent="0.45">
      <c r="A647" s="41"/>
      <c r="B647" s="31"/>
      <c r="C647" s="31"/>
      <c r="D647" s="31"/>
      <c r="E647" s="31"/>
      <c r="F647" s="40"/>
      <c r="G647" s="31"/>
      <c r="H647" s="40"/>
      <c r="I647" s="31"/>
      <c r="J647" s="31"/>
    </row>
    <row r="648" spans="1:10" ht="22.05" customHeight="1" x14ac:dyDescent="0.45">
      <c r="A648" s="39"/>
      <c r="B648" s="29"/>
      <c r="C648" s="29"/>
      <c r="D648" s="29"/>
      <c r="E648" s="29"/>
      <c r="F648" s="40"/>
      <c r="G648" s="29"/>
      <c r="H648" s="40"/>
      <c r="I648" s="29"/>
      <c r="J648" s="29"/>
    </row>
    <row r="649" spans="1:10" ht="22.05" customHeight="1" x14ac:dyDescent="0.45">
      <c r="A649" s="41"/>
      <c r="B649" s="31"/>
      <c r="C649" s="31"/>
      <c r="D649" s="31"/>
      <c r="E649" s="31"/>
      <c r="F649" s="40"/>
      <c r="G649" s="31"/>
      <c r="H649" s="40"/>
      <c r="I649" s="31"/>
      <c r="J649" s="31"/>
    </row>
    <row r="650" spans="1:10" ht="22.05" customHeight="1" x14ac:dyDescent="0.45">
      <c r="A650" s="39"/>
      <c r="B650" s="29"/>
      <c r="C650" s="29"/>
      <c r="D650" s="29"/>
      <c r="E650" s="29"/>
      <c r="F650" s="40"/>
      <c r="G650" s="29"/>
      <c r="H650" s="40"/>
      <c r="I650" s="29"/>
      <c r="J650" s="29"/>
    </row>
    <row r="651" spans="1:10" ht="22.05" customHeight="1" x14ac:dyDescent="0.45">
      <c r="A651" s="41"/>
      <c r="B651" s="31"/>
      <c r="C651" s="31"/>
      <c r="D651" s="31"/>
      <c r="E651" s="31"/>
      <c r="F651" s="40"/>
      <c r="G651" s="31"/>
      <c r="H651" s="40"/>
      <c r="I651" s="31"/>
      <c r="J651" s="31"/>
    </row>
    <row r="652" spans="1:10" ht="22.05" customHeight="1" x14ac:dyDescent="0.45">
      <c r="A652" s="39"/>
      <c r="B652" s="29"/>
      <c r="C652" s="29"/>
      <c r="D652" s="29"/>
      <c r="E652" s="29"/>
      <c r="F652" s="40"/>
      <c r="G652" s="29"/>
      <c r="H652" s="40"/>
      <c r="I652" s="29"/>
      <c r="J652" s="29"/>
    </row>
    <row r="653" spans="1:10" ht="22.05" customHeight="1" x14ac:dyDescent="0.45">
      <c r="A653" s="41"/>
      <c r="B653" s="31"/>
      <c r="C653" s="31"/>
      <c r="D653" s="31"/>
      <c r="E653" s="31"/>
      <c r="F653" s="40"/>
      <c r="G653" s="31"/>
      <c r="H653" s="40"/>
      <c r="I653" s="31"/>
      <c r="J653" s="31"/>
    </row>
    <row r="654" spans="1:10" ht="22.05" customHeight="1" x14ac:dyDescent="0.45">
      <c r="A654" s="39"/>
      <c r="B654" s="29"/>
      <c r="C654" s="29"/>
      <c r="D654" s="29"/>
      <c r="E654" s="29"/>
      <c r="F654" s="40"/>
      <c r="G654" s="29"/>
      <c r="H654" s="40"/>
      <c r="I654" s="29"/>
      <c r="J654" s="29"/>
    </row>
    <row r="655" spans="1:10" ht="22.05" customHeight="1" x14ac:dyDescent="0.45">
      <c r="A655" s="41"/>
      <c r="B655" s="31"/>
      <c r="C655" s="31"/>
      <c r="D655" s="31"/>
      <c r="E655" s="31"/>
      <c r="F655" s="40"/>
      <c r="G655" s="31"/>
      <c r="H655" s="40"/>
      <c r="I655" s="31"/>
      <c r="J655" s="31"/>
    </row>
    <row r="656" spans="1:10" ht="22.05" customHeight="1" x14ac:dyDescent="0.45">
      <c r="A656" s="39"/>
      <c r="B656" s="29"/>
      <c r="C656" s="29"/>
      <c r="D656" s="29"/>
      <c r="E656" s="29"/>
      <c r="F656" s="40"/>
      <c r="G656" s="29"/>
      <c r="H656" s="40"/>
      <c r="I656" s="29"/>
      <c r="J656" s="29"/>
    </row>
    <row r="657" spans="1:10" ht="22.05" customHeight="1" x14ac:dyDescent="0.45">
      <c r="A657" s="41"/>
      <c r="B657" s="31"/>
      <c r="C657" s="31"/>
      <c r="D657" s="31"/>
      <c r="E657" s="31"/>
      <c r="F657" s="40"/>
      <c r="G657" s="31"/>
      <c r="H657" s="40"/>
      <c r="I657" s="31"/>
      <c r="J657" s="31"/>
    </row>
    <row r="658" spans="1:10" ht="22.05" customHeight="1" x14ac:dyDescent="0.45">
      <c r="A658" s="39"/>
      <c r="B658" s="29"/>
      <c r="C658" s="29"/>
      <c r="D658" s="29"/>
      <c r="E658" s="29"/>
      <c r="F658" s="40"/>
      <c r="G658" s="29"/>
      <c r="H658" s="40"/>
      <c r="I658" s="29"/>
      <c r="J658" s="29"/>
    </row>
    <row r="659" spans="1:10" ht="22.05" customHeight="1" x14ac:dyDescent="0.45">
      <c r="A659" s="41"/>
      <c r="B659" s="31"/>
      <c r="C659" s="31"/>
      <c r="D659" s="31"/>
      <c r="E659" s="31"/>
      <c r="F659" s="40"/>
      <c r="G659" s="31"/>
      <c r="H659" s="40"/>
      <c r="I659" s="31"/>
      <c r="J659" s="31"/>
    </row>
    <row r="660" spans="1:10" ht="22.05" customHeight="1" x14ac:dyDescent="0.45">
      <c r="A660" s="39"/>
      <c r="B660" s="29"/>
      <c r="C660" s="29"/>
      <c r="D660" s="29"/>
      <c r="E660" s="29"/>
      <c r="F660" s="40"/>
      <c r="G660" s="29"/>
      <c r="H660" s="40"/>
      <c r="I660" s="29"/>
      <c r="J660" s="29"/>
    </row>
    <row r="661" spans="1:10" ht="22.05" customHeight="1" x14ac:dyDescent="0.45">
      <c r="A661" s="41"/>
      <c r="B661" s="31"/>
      <c r="C661" s="31"/>
      <c r="D661" s="31"/>
      <c r="E661" s="31"/>
      <c r="F661" s="40"/>
      <c r="G661" s="31"/>
      <c r="H661" s="40"/>
      <c r="I661" s="31"/>
      <c r="J661" s="31"/>
    </row>
    <row r="662" spans="1:10" ht="22.05" customHeight="1" x14ac:dyDescent="0.45">
      <c r="A662" s="39"/>
      <c r="B662" s="29"/>
      <c r="C662" s="29"/>
      <c r="D662" s="29"/>
      <c r="E662" s="29"/>
      <c r="F662" s="40"/>
      <c r="G662" s="29"/>
      <c r="H662" s="40"/>
      <c r="I662" s="29"/>
      <c r="J662" s="29"/>
    </row>
    <row r="663" spans="1:10" ht="22.05" customHeight="1" x14ac:dyDescent="0.45">
      <c r="A663" s="41"/>
      <c r="B663" s="31"/>
      <c r="C663" s="31"/>
      <c r="D663" s="31"/>
      <c r="E663" s="31"/>
      <c r="F663" s="40"/>
      <c r="G663" s="31"/>
      <c r="H663" s="40"/>
      <c r="I663" s="31"/>
      <c r="J663" s="31"/>
    </row>
  </sheetData>
  <autoFilter ref="A3:J483" xr:uid="{00000000-0009-0000-0000-000002000000}"/>
  <mergeCells count="2">
    <mergeCell ref="A1:J1"/>
    <mergeCell ref="A2:J2"/>
  </mergeCells>
  <conditionalFormatting sqref="F4:F483">
    <cfRule type="expression" dxfId="19" priority="8">
      <formula>F4="Paid"</formula>
    </cfRule>
    <cfRule type="expression" dxfId="18" priority="9">
      <formula>F4="Pending"</formula>
    </cfRule>
    <cfRule type="expression" dxfId="17" priority="10">
      <formula>F4="Not Applicable"</formula>
    </cfRule>
  </conditionalFormatting>
  <conditionalFormatting sqref="H4:H483">
    <cfRule type="expression" dxfId="16" priority="11">
      <formula>H4="Paid"</formula>
    </cfRule>
    <cfRule type="expression" dxfId="15" priority="12">
      <formula>H4="Pending"</formula>
    </cfRule>
    <cfRule type="expression" dxfId="14" priority="13">
      <formula>H4="Not Applicable"</formula>
    </cfRule>
  </conditionalFormatting>
  <conditionalFormatting sqref="I4:I483">
    <cfRule type="expression" dxfId="13" priority="14">
      <formula>I4="Both Paid"</formula>
    </cfRule>
    <cfRule type="expression" dxfId="12" priority="15">
      <formula>I4="Pending / Partially Paid"</formula>
    </cfRule>
  </conditionalFormatting>
  <dataValidations count="1">
    <dataValidation type="list" allowBlank="1" errorTitle="Invalid payment status" error="Choose Pending, Paid, or Not Applicable." promptTitle="Team payment" prompt="Mark this team payment separately." sqref="F4:F483 H4:H483" xr:uid="{00000000-0002-0000-0200-000000000000}">
      <formula1>"Pending,Paid,Not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workbookViewId="0"/>
  </sheetViews>
  <sheetFormatPr defaultRowHeight="14.25" x14ac:dyDescent="0.45"/>
  <cols>
    <col min="1" max="1" width="115" customWidth="1"/>
    <col min="2" max="7" width="22" customWidth="1"/>
  </cols>
  <sheetData>
    <row r="1" spans="1:7" ht="30" customHeight="1" x14ac:dyDescent="0.45">
      <c r="A1" s="49" t="s">
        <v>112</v>
      </c>
      <c r="B1" s="45"/>
      <c r="C1" s="45"/>
      <c r="D1" s="45"/>
      <c r="E1" s="45"/>
      <c r="F1" s="45"/>
      <c r="G1" s="45"/>
    </row>
    <row r="2" spans="1:7" ht="30" customHeight="1" x14ac:dyDescent="0.45">
      <c r="A2" s="50" t="s">
        <v>113</v>
      </c>
      <c r="B2" s="45"/>
      <c r="C2" s="45"/>
      <c r="D2" s="45"/>
      <c r="E2" s="45"/>
      <c r="F2" s="45"/>
      <c r="G2" s="45"/>
    </row>
    <row r="3" spans="1:7" ht="30" customHeight="1" x14ac:dyDescent="0.45">
      <c r="A3" s="50" t="s">
        <v>114</v>
      </c>
      <c r="B3" s="45"/>
      <c r="C3" s="45"/>
      <c r="D3" s="45"/>
      <c r="E3" s="45"/>
      <c r="F3" s="45"/>
      <c r="G3" s="45"/>
    </row>
    <row r="4" spans="1:7" ht="30" customHeight="1" x14ac:dyDescent="0.45">
      <c r="A4" s="50" t="s">
        <v>115</v>
      </c>
      <c r="B4" s="45"/>
      <c r="C4" s="45"/>
      <c r="D4" s="45"/>
      <c r="E4" s="45"/>
      <c r="F4" s="45"/>
      <c r="G4" s="45"/>
    </row>
    <row r="5" spans="1:7" ht="30" customHeight="1" x14ac:dyDescent="0.45">
      <c r="A5" s="50" t="s">
        <v>116</v>
      </c>
      <c r="B5" s="45"/>
      <c r="C5" s="45"/>
      <c r="D5" s="45"/>
      <c r="E5" s="45"/>
      <c r="F5" s="45"/>
      <c r="G5" s="45"/>
    </row>
    <row r="6" spans="1:7" ht="30" customHeight="1" x14ac:dyDescent="0.45">
      <c r="A6" s="50" t="s">
        <v>117</v>
      </c>
      <c r="B6" s="45"/>
      <c r="C6" s="45"/>
      <c r="D6" s="45"/>
      <c r="E6" s="45"/>
      <c r="F6" s="45"/>
      <c r="G6" s="45"/>
    </row>
    <row r="7" spans="1:7" ht="30" customHeight="1" x14ac:dyDescent="0.45">
      <c r="A7" s="50" t="s">
        <v>118</v>
      </c>
      <c r="B7" s="45"/>
      <c r="C7" s="45"/>
      <c r="D7" s="45"/>
      <c r="E7" s="45"/>
      <c r="F7" s="45"/>
      <c r="G7" s="45"/>
    </row>
    <row r="8" spans="1:7" ht="30" customHeight="1" x14ac:dyDescent="0.45">
      <c r="A8" s="50" t="s">
        <v>119</v>
      </c>
      <c r="B8" s="45"/>
      <c r="C8" s="45"/>
      <c r="D8" s="45"/>
      <c r="E8" s="45"/>
      <c r="F8" s="45"/>
      <c r="G8" s="45"/>
    </row>
    <row r="9" spans="1:7" ht="30" customHeight="1" x14ac:dyDescent="0.45">
      <c r="A9" s="3" t="s">
        <v>120</v>
      </c>
    </row>
    <row r="10" spans="1:7" ht="30" customHeight="1" x14ac:dyDescent="0.45">
      <c r="A10" s="3" t="s">
        <v>121</v>
      </c>
    </row>
    <row r="11" spans="1:7" ht="114" x14ac:dyDescent="0.45">
      <c r="A11" s="3" t="s">
        <v>122</v>
      </c>
      <c r="B11" s="3" t="s">
        <v>123</v>
      </c>
    </row>
    <row r="12" spans="1:7" ht="171" x14ac:dyDescent="0.45">
      <c r="A12" s="3" t="s">
        <v>124</v>
      </c>
      <c r="B12" s="3" t="s">
        <v>125</v>
      </c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45" customWidth="1"/>
  </cols>
  <sheetData>
    <row r="1" spans="1:2" x14ac:dyDescent="0.45">
      <c r="A1" s="1" t="s">
        <v>126</v>
      </c>
      <c r="B1" s="1" t="s">
        <v>127</v>
      </c>
    </row>
    <row r="2" spans="1:2" x14ac:dyDescent="0.45">
      <c r="A2" s="2" t="s">
        <v>26</v>
      </c>
      <c r="B2" s="2" t="s">
        <v>49</v>
      </c>
    </row>
    <row r="3" spans="1:2" x14ac:dyDescent="0.45">
      <c r="A3" s="2" t="s">
        <v>26</v>
      </c>
      <c r="B3" s="2" t="s">
        <v>50</v>
      </c>
    </row>
    <row r="4" spans="1:2" x14ac:dyDescent="0.45">
      <c r="A4" s="2" t="s">
        <v>26</v>
      </c>
      <c r="B4" s="2" t="s">
        <v>69</v>
      </c>
    </row>
    <row r="5" spans="1:2" x14ac:dyDescent="0.45">
      <c r="A5" s="2" t="s">
        <v>26</v>
      </c>
      <c r="B5" s="2" t="s">
        <v>75</v>
      </c>
    </row>
    <row r="6" spans="1:2" x14ac:dyDescent="0.45">
      <c r="A6" s="2" t="s">
        <v>25</v>
      </c>
      <c r="B6" s="2" t="s">
        <v>128</v>
      </c>
    </row>
    <row r="7" spans="1:2" x14ac:dyDescent="0.45">
      <c r="A7" s="2" t="s">
        <v>27</v>
      </c>
      <c r="B7" s="2" t="s">
        <v>128</v>
      </c>
    </row>
    <row r="8" spans="1:2" x14ac:dyDescent="0.45">
      <c r="A8" s="2" t="s">
        <v>28</v>
      </c>
      <c r="B8" s="2" t="s">
        <v>128</v>
      </c>
    </row>
    <row r="9" spans="1:2" x14ac:dyDescent="0.45">
      <c r="A9" s="2" t="s">
        <v>29</v>
      </c>
      <c r="B9" s="2" t="s">
        <v>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zoomScale="85" workbookViewId="0">
      <pane ySplit="3" topLeftCell="A4" activePane="bottomLeft" state="frozen"/>
      <selection pane="bottomLeft"/>
    </sheetView>
  </sheetViews>
  <sheetFormatPr defaultRowHeight="14.25" x14ac:dyDescent="0.45"/>
  <cols>
    <col min="1" max="5" width="30" customWidth="1"/>
  </cols>
  <sheetData>
    <row r="1" spans="1:5" ht="30" customHeight="1" x14ac:dyDescent="0.45">
      <c r="A1" s="52" t="s">
        <v>129</v>
      </c>
      <c r="B1" s="45"/>
      <c r="C1" s="45"/>
      <c r="D1" s="45"/>
      <c r="E1" s="45"/>
    </row>
    <row r="2" spans="1:5" ht="32" customHeight="1" x14ac:dyDescent="0.45">
      <c r="A2" s="51" t="s">
        <v>130</v>
      </c>
      <c r="B2" s="45"/>
      <c r="C2" s="45"/>
      <c r="D2" s="45"/>
      <c r="E2" s="45"/>
    </row>
    <row r="3" spans="1:5" ht="28.5" x14ac:dyDescent="0.45">
      <c r="A3" s="4" t="s">
        <v>131</v>
      </c>
      <c r="B3" s="4" t="s">
        <v>26</v>
      </c>
      <c r="C3" s="4" t="s">
        <v>27</v>
      </c>
      <c r="D3" s="6" t="s">
        <v>28</v>
      </c>
      <c r="E3" s="6" t="s">
        <v>132</v>
      </c>
    </row>
    <row r="4" spans="1:5" x14ac:dyDescent="0.45">
      <c r="A4" s="7" t="s">
        <v>44</v>
      </c>
      <c r="B4" s="7" t="s">
        <v>44</v>
      </c>
      <c r="C4" s="7" t="s">
        <v>44</v>
      </c>
      <c r="D4" s="7" t="s">
        <v>44</v>
      </c>
      <c r="E4" s="7" t="s">
        <v>45</v>
      </c>
    </row>
    <row r="5" spans="1:5" x14ac:dyDescent="0.45">
      <c r="A5" s="5" t="s">
        <v>53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45">
      <c r="A6" s="7" t="s">
        <v>35</v>
      </c>
      <c r="B6" s="7" t="s">
        <v>35</v>
      </c>
      <c r="C6" s="7" t="s">
        <v>36</v>
      </c>
      <c r="D6" s="7" t="s">
        <v>37</v>
      </c>
      <c r="E6" s="7" t="s">
        <v>38</v>
      </c>
    </row>
    <row r="7" spans="1:5" x14ac:dyDescent="0.45">
      <c r="A7" s="5" t="s">
        <v>60</v>
      </c>
      <c r="B7" s="5" t="s">
        <v>60</v>
      </c>
      <c r="C7" s="5" t="s">
        <v>65</v>
      </c>
      <c r="D7" s="5" t="s">
        <v>64</v>
      </c>
      <c r="E7" s="5" t="s">
        <v>66</v>
      </c>
    </row>
    <row r="8" spans="1:5" x14ac:dyDescent="0.45">
      <c r="A8" s="7" t="s">
        <v>59</v>
      </c>
      <c r="B8" s="7" t="s">
        <v>59</v>
      </c>
      <c r="C8" s="5"/>
      <c r="D8" s="7" t="s">
        <v>60</v>
      </c>
      <c r="E8" s="5"/>
    </row>
    <row r="9" spans="1:5" x14ac:dyDescent="0.45">
      <c r="A9" s="5" t="s">
        <v>38</v>
      </c>
      <c r="B9" s="5" t="s">
        <v>38</v>
      </c>
      <c r="C9" s="5"/>
      <c r="D9" s="5" t="s">
        <v>133</v>
      </c>
      <c r="E9" s="5"/>
    </row>
    <row r="10" spans="1:5" x14ac:dyDescent="0.45">
      <c r="A10" s="7" t="s">
        <v>71</v>
      </c>
      <c r="B10" s="7" t="s">
        <v>71</v>
      </c>
      <c r="C10" s="5"/>
      <c r="D10" s="7" t="s">
        <v>72</v>
      </c>
      <c r="E10" s="5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8"/>
  <sheetViews>
    <sheetView showGridLines="0" zoomScale="8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  <col min="2" max="2" width="10" customWidth="1"/>
    <col min="3" max="3" width="11" customWidth="1"/>
    <col min="4" max="5" width="27" customWidth="1"/>
    <col min="6" max="6" width="48" customWidth="1"/>
    <col min="7" max="7" width="14" customWidth="1"/>
    <col min="8" max="8" width="23" customWidth="1"/>
    <col min="9" max="9" width="20" customWidth="1"/>
    <col min="10" max="10" width="22" customWidth="1"/>
    <col min="11" max="12" width="18" customWidth="1"/>
    <col min="13" max="13" width="30" customWidth="1"/>
  </cols>
  <sheetData>
    <row r="1" spans="1:13" ht="30" customHeight="1" x14ac:dyDescent="0.45">
      <c r="A1" s="52" t="s">
        <v>134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32" customHeight="1" x14ac:dyDescent="0.45">
      <c r="A2" s="51" t="s">
        <v>135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36" customHeight="1" x14ac:dyDescent="0.45">
      <c r="A3" s="4" t="s">
        <v>136</v>
      </c>
      <c r="B3" s="4" t="s">
        <v>137</v>
      </c>
      <c r="C3" s="4" t="s">
        <v>138</v>
      </c>
      <c r="D3" s="4" t="s">
        <v>106</v>
      </c>
      <c r="E3" s="4" t="s">
        <v>108</v>
      </c>
      <c r="F3" s="4" t="s">
        <v>139</v>
      </c>
      <c r="G3" s="4" t="s">
        <v>13</v>
      </c>
      <c r="H3" s="4" t="s">
        <v>15</v>
      </c>
      <c r="I3" s="4" t="s">
        <v>104</v>
      </c>
      <c r="J3" s="4" t="s">
        <v>140</v>
      </c>
      <c r="K3" s="4" t="s">
        <v>107</v>
      </c>
      <c r="L3" s="4" t="s">
        <v>109</v>
      </c>
      <c r="M3" s="4" t="s">
        <v>141</v>
      </c>
    </row>
    <row r="4" spans="1:13" ht="28.5" x14ac:dyDescent="0.45">
      <c r="A4" s="7" t="s">
        <v>131</v>
      </c>
      <c r="B4" s="7">
        <v>1</v>
      </c>
      <c r="C4" s="7">
        <v>1</v>
      </c>
      <c r="D4" s="7" t="s">
        <v>53</v>
      </c>
      <c r="E4" s="7" t="s">
        <v>71</v>
      </c>
      <c r="F4" s="7" t="s">
        <v>142</v>
      </c>
      <c r="G4" s="8"/>
      <c r="H4" s="7"/>
      <c r="I4" s="7"/>
      <c r="J4" s="9" t="s">
        <v>143</v>
      </c>
      <c r="K4" s="9" t="s">
        <v>144</v>
      </c>
      <c r="L4" s="9" t="s">
        <v>144</v>
      </c>
      <c r="M4" s="7"/>
    </row>
    <row r="5" spans="1:13" ht="28.5" x14ac:dyDescent="0.45">
      <c r="A5" s="5" t="s">
        <v>131</v>
      </c>
      <c r="B5" s="5">
        <v>1</v>
      </c>
      <c r="C5" s="5">
        <v>2</v>
      </c>
      <c r="D5" s="5" t="s">
        <v>35</v>
      </c>
      <c r="E5" s="5" t="s">
        <v>38</v>
      </c>
      <c r="F5" s="5" t="s">
        <v>145</v>
      </c>
      <c r="G5" s="10"/>
      <c r="H5" s="5"/>
      <c r="I5" s="5"/>
      <c r="J5" s="9" t="s">
        <v>143</v>
      </c>
      <c r="K5" s="9" t="s">
        <v>144</v>
      </c>
      <c r="L5" s="9" t="s">
        <v>144</v>
      </c>
      <c r="M5" s="5"/>
    </row>
    <row r="6" spans="1:13" ht="28.5" x14ac:dyDescent="0.45">
      <c r="A6" s="7" t="s">
        <v>131</v>
      </c>
      <c r="B6" s="7">
        <v>1</v>
      </c>
      <c r="C6" s="7">
        <v>3</v>
      </c>
      <c r="D6" s="7" t="s">
        <v>60</v>
      </c>
      <c r="E6" s="7" t="s">
        <v>59</v>
      </c>
      <c r="F6" s="7" t="s">
        <v>146</v>
      </c>
      <c r="G6" s="8"/>
      <c r="H6" s="7"/>
      <c r="I6" s="7"/>
      <c r="J6" s="9" t="s">
        <v>143</v>
      </c>
      <c r="K6" s="9" t="s">
        <v>144</v>
      </c>
      <c r="L6" s="9" t="s">
        <v>144</v>
      </c>
      <c r="M6" s="7"/>
    </row>
    <row r="7" spans="1:13" ht="28.5" x14ac:dyDescent="0.45">
      <c r="A7" s="5" t="s">
        <v>131</v>
      </c>
      <c r="B7" s="5">
        <v>2</v>
      </c>
      <c r="C7" s="5">
        <v>4</v>
      </c>
      <c r="D7" s="5" t="s">
        <v>44</v>
      </c>
      <c r="E7" s="5" t="s">
        <v>71</v>
      </c>
      <c r="F7" s="5" t="s">
        <v>147</v>
      </c>
      <c r="G7" s="10"/>
      <c r="H7" s="5"/>
      <c r="I7" s="5"/>
      <c r="J7" s="9" t="s">
        <v>143</v>
      </c>
      <c r="K7" s="9" t="s">
        <v>144</v>
      </c>
      <c r="L7" s="9" t="s">
        <v>144</v>
      </c>
      <c r="M7" s="5"/>
    </row>
    <row r="8" spans="1:13" ht="28.5" x14ac:dyDescent="0.45">
      <c r="A8" s="7" t="s">
        <v>131</v>
      </c>
      <c r="B8" s="7">
        <v>2</v>
      </c>
      <c r="C8" s="7">
        <v>5</v>
      </c>
      <c r="D8" s="7" t="s">
        <v>53</v>
      </c>
      <c r="E8" s="7" t="s">
        <v>59</v>
      </c>
      <c r="F8" s="7" t="s">
        <v>148</v>
      </c>
      <c r="G8" s="8"/>
      <c r="H8" s="7"/>
      <c r="I8" s="7"/>
      <c r="J8" s="9" t="s">
        <v>143</v>
      </c>
      <c r="K8" s="9" t="s">
        <v>144</v>
      </c>
      <c r="L8" s="9" t="s">
        <v>144</v>
      </c>
      <c r="M8" s="7"/>
    </row>
    <row r="9" spans="1:13" ht="28.5" x14ac:dyDescent="0.45">
      <c r="A9" s="5" t="s">
        <v>131</v>
      </c>
      <c r="B9" s="5">
        <v>2</v>
      </c>
      <c r="C9" s="5">
        <v>6</v>
      </c>
      <c r="D9" s="5" t="s">
        <v>35</v>
      </c>
      <c r="E9" s="5" t="s">
        <v>60</v>
      </c>
      <c r="F9" s="5" t="s">
        <v>149</v>
      </c>
      <c r="G9" s="10"/>
      <c r="H9" s="5"/>
      <c r="I9" s="5"/>
      <c r="J9" s="9" t="s">
        <v>143</v>
      </c>
      <c r="K9" s="9" t="s">
        <v>144</v>
      </c>
      <c r="L9" s="9" t="s">
        <v>144</v>
      </c>
      <c r="M9" s="5"/>
    </row>
    <row r="10" spans="1:13" ht="28.5" x14ac:dyDescent="0.45">
      <c r="A10" s="7" t="s">
        <v>131</v>
      </c>
      <c r="B10" s="7">
        <v>3</v>
      </c>
      <c r="C10" s="7">
        <v>7</v>
      </c>
      <c r="D10" s="7" t="s">
        <v>44</v>
      </c>
      <c r="E10" s="7" t="s">
        <v>38</v>
      </c>
      <c r="F10" s="7" t="s">
        <v>150</v>
      </c>
      <c r="G10" s="8"/>
      <c r="H10" s="7"/>
      <c r="I10" s="7"/>
      <c r="J10" s="9" t="s">
        <v>143</v>
      </c>
      <c r="K10" s="9" t="s">
        <v>144</v>
      </c>
      <c r="L10" s="9" t="s">
        <v>144</v>
      </c>
      <c r="M10" s="7"/>
    </row>
    <row r="11" spans="1:13" ht="28.5" x14ac:dyDescent="0.45">
      <c r="A11" s="5" t="s">
        <v>131</v>
      </c>
      <c r="B11" s="5">
        <v>3</v>
      </c>
      <c r="C11" s="5">
        <v>8</v>
      </c>
      <c r="D11" s="5" t="s">
        <v>71</v>
      </c>
      <c r="E11" s="5" t="s">
        <v>59</v>
      </c>
      <c r="F11" s="5" t="s">
        <v>151</v>
      </c>
      <c r="G11" s="10"/>
      <c r="H11" s="5"/>
      <c r="I11" s="5"/>
      <c r="J11" s="9" t="s">
        <v>143</v>
      </c>
      <c r="K11" s="9" t="s">
        <v>144</v>
      </c>
      <c r="L11" s="9" t="s">
        <v>144</v>
      </c>
      <c r="M11" s="5"/>
    </row>
    <row r="12" spans="1:13" ht="28.5" x14ac:dyDescent="0.45">
      <c r="A12" s="7" t="s">
        <v>131</v>
      </c>
      <c r="B12" s="7">
        <v>3</v>
      </c>
      <c r="C12" s="7">
        <v>9</v>
      </c>
      <c r="D12" s="7" t="s">
        <v>53</v>
      </c>
      <c r="E12" s="7" t="s">
        <v>35</v>
      </c>
      <c r="F12" s="7" t="s">
        <v>152</v>
      </c>
      <c r="G12" s="8"/>
      <c r="H12" s="7"/>
      <c r="I12" s="7"/>
      <c r="J12" s="9" t="s">
        <v>143</v>
      </c>
      <c r="K12" s="9" t="s">
        <v>144</v>
      </c>
      <c r="L12" s="9" t="s">
        <v>144</v>
      </c>
      <c r="M12" s="7"/>
    </row>
    <row r="13" spans="1:13" ht="28.5" x14ac:dyDescent="0.45">
      <c r="A13" s="5" t="s">
        <v>131</v>
      </c>
      <c r="B13" s="5">
        <v>4</v>
      </c>
      <c r="C13" s="5">
        <v>10</v>
      </c>
      <c r="D13" s="5" t="s">
        <v>44</v>
      </c>
      <c r="E13" s="5" t="s">
        <v>59</v>
      </c>
      <c r="F13" s="5" t="s">
        <v>153</v>
      </c>
      <c r="G13" s="10"/>
      <c r="H13" s="5"/>
      <c r="I13" s="5"/>
      <c r="J13" s="9" t="s">
        <v>143</v>
      </c>
      <c r="K13" s="9" t="s">
        <v>144</v>
      </c>
      <c r="L13" s="9" t="s">
        <v>144</v>
      </c>
      <c r="M13" s="5"/>
    </row>
    <row r="14" spans="1:13" ht="28.5" x14ac:dyDescent="0.45">
      <c r="A14" s="7" t="s">
        <v>131</v>
      </c>
      <c r="B14" s="7">
        <v>4</v>
      </c>
      <c r="C14" s="7">
        <v>11</v>
      </c>
      <c r="D14" s="7" t="s">
        <v>38</v>
      </c>
      <c r="E14" s="7" t="s">
        <v>60</v>
      </c>
      <c r="F14" s="7" t="s">
        <v>154</v>
      </c>
      <c r="G14" s="8"/>
      <c r="H14" s="7"/>
      <c r="I14" s="7"/>
      <c r="J14" s="9" t="s">
        <v>143</v>
      </c>
      <c r="K14" s="9" t="s">
        <v>144</v>
      </c>
      <c r="L14" s="9" t="s">
        <v>144</v>
      </c>
      <c r="M14" s="7"/>
    </row>
    <row r="15" spans="1:13" ht="28.5" x14ac:dyDescent="0.45">
      <c r="A15" s="5" t="s">
        <v>131</v>
      </c>
      <c r="B15" s="5">
        <v>4</v>
      </c>
      <c r="C15" s="5">
        <v>12</v>
      </c>
      <c r="D15" s="5" t="s">
        <v>71</v>
      </c>
      <c r="E15" s="5" t="s">
        <v>35</v>
      </c>
      <c r="F15" s="5" t="s">
        <v>155</v>
      </c>
      <c r="G15" s="10"/>
      <c r="H15" s="5"/>
      <c r="I15" s="5"/>
      <c r="J15" s="9" t="s">
        <v>143</v>
      </c>
      <c r="K15" s="9" t="s">
        <v>144</v>
      </c>
      <c r="L15" s="9" t="s">
        <v>144</v>
      </c>
      <c r="M15" s="5"/>
    </row>
    <row r="16" spans="1:13" ht="28.5" x14ac:dyDescent="0.45">
      <c r="A16" s="7" t="s">
        <v>131</v>
      </c>
      <c r="B16" s="7">
        <v>5</v>
      </c>
      <c r="C16" s="7">
        <v>13</v>
      </c>
      <c r="D16" s="7" t="s">
        <v>44</v>
      </c>
      <c r="E16" s="7" t="s">
        <v>60</v>
      </c>
      <c r="F16" s="7" t="s">
        <v>156</v>
      </c>
      <c r="G16" s="8"/>
      <c r="H16" s="7"/>
      <c r="I16" s="7"/>
      <c r="J16" s="9" t="s">
        <v>143</v>
      </c>
      <c r="K16" s="9" t="s">
        <v>144</v>
      </c>
      <c r="L16" s="9" t="s">
        <v>144</v>
      </c>
      <c r="M16" s="7"/>
    </row>
    <row r="17" spans="1:13" ht="28.5" x14ac:dyDescent="0.45">
      <c r="A17" s="5" t="s">
        <v>131</v>
      </c>
      <c r="B17" s="5">
        <v>5</v>
      </c>
      <c r="C17" s="5">
        <v>14</v>
      </c>
      <c r="D17" s="5" t="s">
        <v>59</v>
      </c>
      <c r="E17" s="5" t="s">
        <v>35</v>
      </c>
      <c r="F17" s="5" t="s">
        <v>157</v>
      </c>
      <c r="G17" s="10"/>
      <c r="H17" s="5"/>
      <c r="I17" s="5"/>
      <c r="J17" s="9" t="s">
        <v>143</v>
      </c>
      <c r="K17" s="9" t="s">
        <v>144</v>
      </c>
      <c r="L17" s="9" t="s">
        <v>144</v>
      </c>
      <c r="M17" s="5"/>
    </row>
    <row r="18" spans="1:13" ht="28.5" x14ac:dyDescent="0.45">
      <c r="A18" s="7" t="s">
        <v>131</v>
      </c>
      <c r="B18" s="7">
        <v>5</v>
      </c>
      <c r="C18" s="7">
        <v>15</v>
      </c>
      <c r="D18" s="7" t="s">
        <v>38</v>
      </c>
      <c r="E18" s="7" t="s">
        <v>53</v>
      </c>
      <c r="F18" s="7" t="s">
        <v>158</v>
      </c>
      <c r="G18" s="8"/>
      <c r="H18" s="7"/>
      <c r="I18" s="7"/>
      <c r="J18" s="9" t="s">
        <v>143</v>
      </c>
      <c r="K18" s="9" t="s">
        <v>144</v>
      </c>
      <c r="L18" s="9" t="s">
        <v>144</v>
      </c>
      <c r="M18" s="7"/>
    </row>
    <row r="19" spans="1:13" ht="28.5" x14ac:dyDescent="0.45">
      <c r="A19" s="5" t="s">
        <v>131</v>
      </c>
      <c r="B19" s="5">
        <v>6</v>
      </c>
      <c r="C19" s="5">
        <v>16</v>
      </c>
      <c r="D19" s="5" t="s">
        <v>44</v>
      </c>
      <c r="E19" s="5" t="s">
        <v>35</v>
      </c>
      <c r="F19" s="5" t="s">
        <v>159</v>
      </c>
      <c r="G19" s="10"/>
      <c r="H19" s="5"/>
      <c r="I19" s="5"/>
      <c r="J19" s="9" t="s">
        <v>143</v>
      </c>
      <c r="K19" s="9" t="s">
        <v>144</v>
      </c>
      <c r="L19" s="9" t="s">
        <v>144</v>
      </c>
      <c r="M19" s="5"/>
    </row>
    <row r="20" spans="1:13" ht="28.5" x14ac:dyDescent="0.45">
      <c r="A20" s="7" t="s">
        <v>131</v>
      </c>
      <c r="B20" s="7">
        <v>6</v>
      </c>
      <c r="C20" s="7">
        <v>17</v>
      </c>
      <c r="D20" s="7" t="s">
        <v>60</v>
      </c>
      <c r="E20" s="7" t="s">
        <v>53</v>
      </c>
      <c r="F20" s="7" t="s">
        <v>160</v>
      </c>
      <c r="G20" s="8"/>
      <c r="H20" s="7"/>
      <c r="I20" s="7"/>
      <c r="J20" s="9" t="s">
        <v>143</v>
      </c>
      <c r="K20" s="9" t="s">
        <v>144</v>
      </c>
      <c r="L20" s="9" t="s">
        <v>144</v>
      </c>
      <c r="M20" s="7"/>
    </row>
    <row r="21" spans="1:13" ht="28.5" x14ac:dyDescent="0.45">
      <c r="A21" s="5" t="s">
        <v>131</v>
      </c>
      <c r="B21" s="5">
        <v>6</v>
      </c>
      <c r="C21" s="5">
        <v>18</v>
      </c>
      <c r="D21" s="5" t="s">
        <v>38</v>
      </c>
      <c r="E21" s="5" t="s">
        <v>71</v>
      </c>
      <c r="F21" s="5" t="s">
        <v>161</v>
      </c>
      <c r="G21" s="10"/>
      <c r="H21" s="5"/>
      <c r="I21" s="5"/>
      <c r="J21" s="9" t="s">
        <v>143</v>
      </c>
      <c r="K21" s="9" t="s">
        <v>144</v>
      </c>
      <c r="L21" s="9" t="s">
        <v>144</v>
      </c>
      <c r="M21" s="5"/>
    </row>
    <row r="22" spans="1:13" ht="28.5" x14ac:dyDescent="0.45">
      <c r="A22" s="7" t="s">
        <v>131</v>
      </c>
      <c r="B22" s="7">
        <v>7</v>
      </c>
      <c r="C22" s="7">
        <v>19</v>
      </c>
      <c r="D22" s="7" t="s">
        <v>44</v>
      </c>
      <c r="E22" s="7" t="s">
        <v>53</v>
      </c>
      <c r="F22" s="7" t="s">
        <v>162</v>
      </c>
      <c r="G22" s="8"/>
      <c r="H22" s="7"/>
      <c r="I22" s="7"/>
      <c r="J22" s="9" t="s">
        <v>143</v>
      </c>
      <c r="K22" s="9" t="s">
        <v>144</v>
      </c>
      <c r="L22" s="9" t="s">
        <v>144</v>
      </c>
      <c r="M22" s="7"/>
    </row>
    <row r="23" spans="1:13" ht="28.5" x14ac:dyDescent="0.45">
      <c r="A23" s="5" t="s">
        <v>131</v>
      </c>
      <c r="B23" s="5">
        <v>7</v>
      </c>
      <c r="C23" s="5">
        <v>20</v>
      </c>
      <c r="D23" s="5" t="s">
        <v>60</v>
      </c>
      <c r="E23" s="5" t="s">
        <v>71</v>
      </c>
      <c r="F23" s="5" t="s">
        <v>163</v>
      </c>
      <c r="G23" s="10"/>
      <c r="H23" s="5"/>
      <c r="I23" s="5"/>
      <c r="J23" s="9" t="s">
        <v>143</v>
      </c>
      <c r="K23" s="9" t="s">
        <v>144</v>
      </c>
      <c r="L23" s="9" t="s">
        <v>144</v>
      </c>
      <c r="M23" s="5"/>
    </row>
    <row r="24" spans="1:13" ht="28.5" x14ac:dyDescent="0.45">
      <c r="A24" s="7" t="s">
        <v>131</v>
      </c>
      <c r="B24" s="7">
        <v>7</v>
      </c>
      <c r="C24" s="7">
        <v>21</v>
      </c>
      <c r="D24" s="7" t="s">
        <v>59</v>
      </c>
      <c r="E24" s="7" t="s">
        <v>38</v>
      </c>
      <c r="F24" s="7" t="s">
        <v>164</v>
      </c>
      <c r="G24" s="8"/>
      <c r="H24" s="7"/>
      <c r="I24" s="7"/>
      <c r="J24" s="9" t="s">
        <v>143</v>
      </c>
      <c r="K24" s="9" t="s">
        <v>144</v>
      </c>
      <c r="L24" s="9" t="s">
        <v>144</v>
      </c>
      <c r="M24" s="7"/>
    </row>
    <row r="25" spans="1:13" x14ac:dyDescent="0.45">
      <c r="A25" s="5" t="s">
        <v>26</v>
      </c>
      <c r="B25" s="5">
        <v>1</v>
      </c>
      <c r="C25" s="5">
        <v>22</v>
      </c>
      <c r="D25" s="5" t="s">
        <v>53</v>
      </c>
      <c r="E25" s="5" t="s">
        <v>71</v>
      </c>
      <c r="F25" s="5" t="s">
        <v>142</v>
      </c>
      <c r="G25" s="10"/>
      <c r="H25" s="5"/>
      <c r="I25" s="5"/>
      <c r="J25" s="9" t="s">
        <v>143</v>
      </c>
      <c r="K25" s="9" t="s">
        <v>144</v>
      </c>
      <c r="L25" s="9" t="s">
        <v>144</v>
      </c>
      <c r="M25" s="5"/>
    </row>
    <row r="26" spans="1:13" x14ac:dyDescent="0.45">
      <c r="A26" s="7" t="s">
        <v>26</v>
      </c>
      <c r="B26" s="7">
        <v>1</v>
      </c>
      <c r="C26" s="7">
        <v>23</v>
      </c>
      <c r="D26" s="7" t="s">
        <v>35</v>
      </c>
      <c r="E26" s="7" t="s">
        <v>38</v>
      </c>
      <c r="F26" s="7" t="s">
        <v>145</v>
      </c>
      <c r="G26" s="8"/>
      <c r="H26" s="7"/>
      <c r="I26" s="7"/>
      <c r="J26" s="9" t="s">
        <v>143</v>
      </c>
      <c r="K26" s="9" t="s">
        <v>144</v>
      </c>
      <c r="L26" s="9" t="s">
        <v>144</v>
      </c>
      <c r="M26" s="7"/>
    </row>
    <row r="27" spans="1:13" x14ac:dyDescent="0.45">
      <c r="A27" s="5" t="s">
        <v>26</v>
      </c>
      <c r="B27" s="5">
        <v>1</v>
      </c>
      <c r="C27" s="5">
        <v>24</v>
      </c>
      <c r="D27" s="5" t="s">
        <v>60</v>
      </c>
      <c r="E27" s="5" t="s">
        <v>59</v>
      </c>
      <c r="F27" s="5" t="s">
        <v>146</v>
      </c>
      <c r="G27" s="10"/>
      <c r="H27" s="5"/>
      <c r="I27" s="5"/>
      <c r="J27" s="9" t="s">
        <v>143</v>
      </c>
      <c r="K27" s="9" t="s">
        <v>144</v>
      </c>
      <c r="L27" s="9" t="s">
        <v>144</v>
      </c>
      <c r="M27" s="5"/>
    </row>
    <row r="28" spans="1:13" x14ac:dyDescent="0.45">
      <c r="A28" s="7" t="s">
        <v>26</v>
      </c>
      <c r="B28" s="7">
        <v>2</v>
      </c>
      <c r="C28" s="7">
        <v>25</v>
      </c>
      <c r="D28" s="7" t="s">
        <v>44</v>
      </c>
      <c r="E28" s="7" t="s">
        <v>71</v>
      </c>
      <c r="F28" s="7" t="s">
        <v>147</v>
      </c>
      <c r="G28" s="8"/>
      <c r="H28" s="7"/>
      <c r="I28" s="7"/>
      <c r="J28" s="9" t="s">
        <v>143</v>
      </c>
      <c r="K28" s="9" t="s">
        <v>144</v>
      </c>
      <c r="L28" s="9" t="s">
        <v>144</v>
      </c>
      <c r="M28" s="7"/>
    </row>
    <row r="29" spans="1:13" x14ac:dyDescent="0.45">
      <c r="A29" s="5" t="s">
        <v>26</v>
      </c>
      <c r="B29" s="5">
        <v>2</v>
      </c>
      <c r="C29" s="5">
        <v>26</v>
      </c>
      <c r="D29" s="5" t="s">
        <v>53</v>
      </c>
      <c r="E29" s="5" t="s">
        <v>59</v>
      </c>
      <c r="F29" s="5" t="s">
        <v>148</v>
      </c>
      <c r="G29" s="10"/>
      <c r="H29" s="5"/>
      <c r="I29" s="5"/>
      <c r="J29" s="9" t="s">
        <v>143</v>
      </c>
      <c r="K29" s="9" t="s">
        <v>144</v>
      </c>
      <c r="L29" s="9" t="s">
        <v>144</v>
      </c>
      <c r="M29" s="5"/>
    </row>
    <row r="30" spans="1:13" x14ac:dyDescent="0.45">
      <c r="A30" s="7" t="s">
        <v>26</v>
      </c>
      <c r="B30" s="7">
        <v>2</v>
      </c>
      <c r="C30" s="7">
        <v>27</v>
      </c>
      <c r="D30" s="7" t="s">
        <v>35</v>
      </c>
      <c r="E30" s="7" t="s">
        <v>60</v>
      </c>
      <c r="F30" s="7" t="s">
        <v>149</v>
      </c>
      <c r="G30" s="8"/>
      <c r="H30" s="7"/>
      <c r="I30" s="7"/>
      <c r="J30" s="9" t="s">
        <v>143</v>
      </c>
      <c r="K30" s="9" t="s">
        <v>144</v>
      </c>
      <c r="L30" s="9" t="s">
        <v>144</v>
      </c>
      <c r="M30" s="7"/>
    </row>
    <row r="31" spans="1:13" x14ac:dyDescent="0.45">
      <c r="A31" s="5" t="s">
        <v>26</v>
      </c>
      <c r="B31" s="5">
        <v>3</v>
      </c>
      <c r="C31" s="5">
        <v>28</v>
      </c>
      <c r="D31" s="5" t="s">
        <v>44</v>
      </c>
      <c r="E31" s="5" t="s">
        <v>38</v>
      </c>
      <c r="F31" s="5" t="s">
        <v>150</v>
      </c>
      <c r="G31" s="10"/>
      <c r="H31" s="5"/>
      <c r="I31" s="5"/>
      <c r="J31" s="9" t="s">
        <v>143</v>
      </c>
      <c r="K31" s="9" t="s">
        <v>144</v>
      </c>
      <c r="L31" s="9" t="s">
        <v>144</v>
      </c>
      <c r="M31" s="5"/>
    </row>
    <row r="32" spans="1:13" x14ac:dyDescent="0.45">
      <c r="A32" s="7" t="s">
        <v>26</v>
      </c>
      <c r="B32" s="7">
        <v>3</v>
      </c>
      <c r="C32" s="7">
        <v>29</v>
      </c>
      <c r="D32" s="7" t="s">
        <v>71</v>
      </c>
      <c r="E32" s="7" t="s">
        <v>59</v>
      </c>
      <c r="F32" s="7" t="s">
        <v>151</v>
      </c>
      <c r="G32" s="8"/>
      <c r="H32" s="7"/>
      <c r="I32" s="7"/>
      <c r="J32" s="9" t="s">
        <v>143</v>
      </c>
      <c r="K32" s="9" t="s">
        <v>144</v>
      </c>
      <c r="L32" s="9" t="s">
        <v>144</v>
      </c>
      <c r="M32" s="7"/>
    </row>
    <row r="33" spans="1:13" x14ac:dyDescent="0.45">
      <c r="A33" s="5" t="s">
        <v>26</v>
      </c>
      <c r="B33" s="5">
        <v>3</v>
      </c>
      <c r="C33" s="5">
        <v>30</v>
      </c>
      <c r="D33" s="5" t="s">
        <v>53</v>
      </c>
      <c r="E33" s="5" t="s">
        <v>35</v>
      </c>
      <c r="F33" s="5" t="s">
        <v>152</v>
      </c>
      <c r="G33" s="10"/>
      <c r="H33" s="5"/>
      <c r="I33" s="5"/>
      <c r="J33" s="9" t="s">
        <v>143</v>
      </c>
      <c r="K33" s="9" t="s">
        <v>144</v>
      </c>
      <c r="L33" s="9" t="s">
        <v>144</v>
      </c>
      <c r="M33" s="5"/>
    </row>
    <row r="34" spans="1:13" x14ac:dyDescent="0.45">
      <c r="A34" s="7" t="s">
        <v>26</v>
      </c>
      <c r="B34" s="7">
        <v>4</v>
      </c>
      <c r="C34" s="7">
        <v>31</v>
      </c>
      <c r="D34" s="7" t="s">
        <v>44</v>
      </c>
      <c r="E34" s="7" t="s">
        <v>59</v>
      </c>
      <c r="F34" s="7" t="s">
        <v>153</v>
      </c>
      <c r="G34" s="8"/>
      <c r="H34" s="7"/>
      <c r="I34" s="7"/>
      <c r="J34" s="9" t="s">
        <v>143</v>
      </c>
      <c r="K34" s="9" t="s">
        <v>144</v>
      </c>
      <c r="L34" s="9" t="s">
        <v>144</v>
      </c>
      <c r="M34" s="7"/>
    </row>
    <row r="35" spans="1:13" x14ac:dyDescent="0.45">
      <c r="A35" s="5" t="s">
        <v>26</v>
      </c>
      <c r="B35" s="5">
        <v>4</v>
      </c>
      <c r="C35" s="5">
        <v>32</v>
      </c>
      <c r="D35" s="5" t="s">
        <v>38</v>
      </c>
      <c r="E35" s="5" t="s">
        <v>60</v>
      </c>
      <c r="F35" s="5" t="s">
        <v>154</v>
      </c>
      <c r="G35" s="10"/>
      <c r="H35" s="5"/>
      <c r="I35" s="5"/>
      <c r="J35" s="9" t="s">
        <v>143</v>
      </c>
      <c r="K35" s="9" t="s">
        <v>144</v>
      </c>
      <c r="L35" s="9" t="s">
        <v>144</v>
      </c>
      <c r="M35" s="5"/>
    </row>
    <row r="36" spans="1:13" x14ac:dyDescent="0.45">
      <c r="A36" s="7" t="s">
        <v>26</v>
      </c>
      <c r="B36" s="7">
        <v>4</v>
      </c>
      <c r="C36" s="7">
        <v>33</v>
      </c>
      <c r="D36" s="7" t="s">
        <v>71</v>
      </c>
      <c r="E36" s="7" t="s">
        <v>35</v>
      </c>
      <c r="F36" s="7" t="s">
        <v>155</v>
      </c>
      <c r="G36" s="8"/>
      <c r="H36" s="7"/>
      <c r="I36" s="7"/>
      <c r="J36" s="9" t="s">
        <v>143</v>
      </c>
      <c r="K36" s="9" t="s">
        <v>144</v>
      </c>
      <c r="L36" s="9" t="s">
        <v>144</v>
      </c>
      <c r="M36" s="7"/>
    </row>
    <row r="37" spans="1:13" x14ac:dyDescent="0.45">
      <c r="A37" s="5" t="s">
        <v>26</v>
      </c>
      <c r="B37" s="5">
        <v>5</v>
      </c>
      <c r="C37" s="5">
        <v>34</v>
      </c>
      <c r="D37" s="5" t="s">
        <v>44</v>
      </c>
      <c r="E37" s="5" t="s">
        <v>60</v>
      </c>
      <c r="F37" s="5" t="s">
        <v>156</v>
      </c>
      <c r="G37" s="10"/>
      <c r="H37" s="5"/>
      <c r="I37" s="5"/>
      <c r="J37" s="9" t="s">
        <v>143</v>
      </c>
      <c r="K37" s="9" t="s">
        <v>144</v>
      </c>
      <c r="L37" s="9" t="s">
        <v>144</v>
      </c>
      <c r="M37" s="5"/>
    </row>
    <row r="38" spans="1:13" x14ac:dyDescent="0.45">
      <c r="A38" s="7" t="s">
        <v>26</v>
      </c>
      <c r="B38" s="7">
        <v>5</v>
      </c>
      <c r="C38" s="7">
        <v>35</v>
      </c>
      <c r="D38" s="7" t="s">
        <v>59</v>
      </c>
      <c r="E38" s="7" t="s">
        <v>35</v>
      </c>
      <c r="F38" s="7" t="s">
        <v>157</v>
      </c>
      <c r="G38" s="8"/>
      <c r="H38" s="7"/>
      <c r="I38" s="7"/>
      <c r="J38" s="9" t="s">
        <v>143</v>
      </c>
      <c r="K38" s="9" t="s">
        <v>144</v>
      </c>
      <c r="L38" s="9" t="s">
        <v>144</v>
      </c>
      <c r="M38" s="7"/>
    </row>
    <row r="39" spans="1:13" x14ac:dyDescent="0.45">
      <c r="A39" s="5" t="s">
        <v>26</v>
      </c>
      <c r="B39" s="5">
        <v>5</v>
      </c>
      <c r="C39" s="5">
        <v>36</v>
      </c>
      <c r="D39" s="5" t="s">
        <v>38</v>
      </c>
      <c r="E39" s="5" t="s">
        <v>53</v>
      </c>
      <c r="F39" s="5" t="s">
        <v>158</v>
      </c>
      <c r="G39" s="10"/>
      <c r="H39" s="5"/>
      <c r="I39" s="5"/>
      <c r="J39" s="9" t="s">
        <v>143</v>
      </c>
      <c r="K39" s="9" t="s">
        <v>144</v>
      </c>
      <c r="L39" s="9" t="s">
        <v>144</v>
      </c>
      <c r="M39" s="5"/>
    </row>
    <row r="40" spans="1:13" x14ac:dyDescent="0.45">
      <c r="A40" s="7" t="s">
        <v>26</v>
      </c>
      <c r="B40" s="7">
        <v>6</v>
      </c>
      <c r="C40" s="7">
        <v>37</v>
      </c>
      <c r="D40" s="7" t="s">
        <v>44</v>
      </c>
      <c r="E40" s="7" t="s">
        <v>35</v>
      </c>
      <c r="F40" s="7" t="s">
        <v>159</v>
      </c>
      <c r="G40" s="8"/>
      <c r="H40" s="7"/>
      <c r="I40" s="7"/>
      <c r="J40" s="9" t="s">
        <v>143</v>
      </c>
      <c r="K40" s="9" t="s">
        <v>144</v>
      </c>
      <c r="L40" s="9" t="s">
        <v>144</v>
      </c>
      <c r="M40" s="7"/>
    </row>
    <row r="41" spans="1:13" x14ac:dyDescent="0.45">
      <c r="A41" s="5" t="s">
        <v>26</v>
      </c>
      <c r="B41" s="5">
        <v>6</v>
      </c>
      <c r="C41" s="5">
        <v>38</v>
      </c>
      <c r="D41" s="5" t="s">
        <v>60</v>
      </c>
      <c r="E41" s="5" t="s">
        <v>53</v>
      </c>
      <c r="F41" s="5" t="s">
        <v>160</v>
      </c>
      <c r="G41" s="10"/>
      <c r="H41" s="5"/>
      <c r="I41" s="5"/>
      <c r="J41" s="9" t="s">
        <v>143</v>
      </c>
      <c r="K41" s="9" t="s">
        <v>144</v>
      </c>
      <c r="L41" s="9" t="s">
        <v>144</v>
      </c>
      <c r="M41" s="5"/>
    </row>
    <row r="42" spans="1:13" x14ac:dyDescent="0.45">
      <c r="A42" s="7" t="s">
        <v>26</v>
      </c>
      <c r="B42" s="7">
        <v>6</v>
      </c>
      <c r="C42" s="7">
        <v>39</v>
      </c>
      <c r="D42" s="7" t="s">
        <v>38</v>
      </c>
      <c r="E42" s="7" t="s">
        <v>71</v>
      </c>
      <c r="F42" s="7" t="s">
        <v>161</v>
      </c>
      <c r="G42" s="8"/>
      <c r="H42" s="7"/>
      <c r="I42" s="7"/>
      <c r="J42" s="9" t="s">
        <v>143</v>
      </c>
      <c r="K42" s="9" t="s">
        <v>144</v>
      </c>
      <c r="L42" s="9" t="s">
        <v>144</v>
      </c>
      <c r="M42" s="7"/>
    </row>
    <row r="43" spans="1:13" x14ac:dyDescent="0.45">
      <c r="A43" s="5" t="s">
        <v>26</v>
      </c>
      <c r="B43" s="5">
        <v>7</v>
      </c>
      <c r="C43" s="5">
        <v>40</v>
      </c>
      <c r="D43" s="5" t="s">
        <v>44</v>
      </c>
      <c r="E43" s="5" t="s">
        <v>53</v>
      </c>
      <c r="F43" s="5" t="s">
        <v>162</v>
      </c>
      <c r="G43" s="10"/>
      <c r="H43" s="5"/>
      <c r="I43" s="5"/>
      <c r="J43" s="9" t="s">
        <v>143</v>
      </c>
      <c r="K43" s="9" t="s">
        <v>144</v>
      </c>
      <c r="L43" s="9" t="s">
        <v>144</v>
      </c>
      <c r="M43" s="5"/>
    </row>
    <row r="44" spans="1:13" x14ac:dyDescent="0.45">
      <c r="A44" s="7" t="s">
        <v>26</v>
      </c>
      <c r="B44" s="7">
        <v>7</v>
      </c>
      <c r="C44" s="7">
        <v>41</v>
      </c>
      <c r="D44" s="7" t="s">
        <v>60</v>
      </c>
      <c r="E44" s="7" t="s">
        <v>71</v>
      </c>
      <c r="F44" s="7" t="s">
        <v>163</v>
      </c>
      <c r="G44" s="8"/>
      <c r="H44" s="7"/>
      <c r="I44" s="7"/>
      <c r="J44" s="9" t="s">
        <v>143</v>
      </c>
      <c r="K44" s="9" t="s">
        <v>144</v>
      </c>
      <c r="L44" s="9" t="s">
        <v>144</v>
      </c>
      <c r="M44" s="7"/>
    </row>
    <row r="45" spans="1:13" x14ac:dyDescent="0.45">
      <c r="A45" s="5" t="s">
        <v>26</v>
      </c>
      <c r="B45" s="5">
        <v>7</v>
      </c>
      <c r="C45" s="5">
        <v>42</v>
      </c>
      <c r="D45" s="5" t="s">
        <v>59</v>
      </c>
      <c r="E45" s="5" t="s">
        <v>38</v>
      </c>
      <c r="F45" s="5" t="s">
        <v>164</v>
      </c>
      <c r="G45" s="10"/>
      <c r="H45" s="5"/>
      <c r="I45" s="5"/>
      <c r="J45" s="9" t="s">
        <v>143</v>
      </c>
      <c r="K45" s="9" t="s">
        <v>144</v>
      </c>
      <c r="L45" s="9" t="s">
        <v>144</v>
      </c>
      <c r="M45" s="5"/>
    </row>
    <row r="46" spans="1:13" x14ac:dyDescent="0.45">
      <c r="A46" s="7" t="s">
        <v>27</v>
      </c>
      <c r="B46" s="7">
        <v>1</v>
      </c>
      <c r="C46" s="7">
        <v>43</v>
      </c>
      <c r="D46" s="7" t="s">
        <v>44</v>
      </c>
      <c r="E46" s="7" t="s">
        <v>65</v>
      </c>
      <c r="F46" s="7" t="s">
        <v>165</v>
      </c>
      <c r="G46" s="8"/>
      <c r="H46" s="7"/>
      <c r="I46" s="7"/>
      <c r="J46" s="9" t="s">
        <v>143</v>
      </c>
      <c r="K46" s="9" t="s">
        <v>144</v>
      </c>
      <c r="L46" s="9" t="s">
        <v>144</v>
      </c>
      <c r="M46" s="7"/>
    </row>
    <row r="47" spans="1:13" x14ac:dyDescent="0.45">
      <c r="A47" s="5" t="s">
        <v>27</v>
      </c>
      <c r="B47" s="5">
        <v>1</v>
      </c>
      <c r="C47" s="5">
        <v>44</v>
      </c>
      <c r="D47" s="5" t="s">
        <v>54</v>
      </c>
      <c r="E47" s="5" t="s">
        <v>36</v>
      </c>
      <c r="F47" s="5" t="s">
        <v>166</v>
      </c>
      <c r="G47" s="10"/>
      <c r="H47" s="5"/>
      <c r="I47" s="5"/>
      <c r="J47" s="9" t="s">
        <v>143</v>
      </c>
      <c r="K47" s="9" t="s">
        <v>144</v>
      </c>
      <c r="L47" s="9" t="s">
        <v>144</v>
      </c>
      <c r="M47" s="5"/>
    </row>
    <row r="48" spans="1:13" x14ac:dyDescent="0.45">
      <c r="A48" s="7" t="s">
        <v>27</v>
      </c>
      <c r="B48" s="7">
        <v>2</v>
      </c>
      <c r="C48" s="7">
        <v>45</v>
      </c>
      <c r="D48" s="7" t="s">
        <v>44</v>
      </c>
      <c r="E48" s="7" t="s">
        <v>36</v>
      </c>
      <c r="F48" s="7" t="s">
        <v>167</v>
      </c>
      <c r="G48" s="8"/>
      <c r="H48" s="7"/>
      <c r="I48" s="7"/>
      <c r="J48" s="9" t="s">
        <v>143</v>
      </c>
      <c r="K48" s="9" t="s">
        <v>144</v>
      </c>
      <c r="L48" s="9" t="s">
        <v>144</v>
      </c>
      <c r="M48" s="7"/>
    </row>
    <row r="49" spans="1:13" x14ac:dyDescent="0.45">
      <c r="A49" s="5" t="s">
        <v>27</v>
      </c>
      <c r="B49" s="5">
        <v>2</v>
      </c>
      <c r="C49" s="5">
        <v>46</v>
      </c>
      <c r="D49" s="5" t="s">
        <v>65</v>
      </c>
      <c r="E49" s="5" t="s">
        <v>54</v>
      </c>
      <c r="F49" s="5" t="s">
        <v>168</v>
      </c>
      <c r="G49" s="10"/>
      <c r="H49" s="5"/>
      <c r="I49" s="5"/>
      <c r="J49" s="9" t="s">
        <v>143</v>
      </c>
      <c r="K49" s="9" t="s">
        <v>144</v>
      </c>
      <c r="L49" s="9" t="s">
        <v>144</v>
      </c>
      <c r="M49" s="5"/>
    </row>
    <row r="50" spans="1:13" x14ac:dyDescent="0.45">
      <c r="A50" s="7" t="s">
        <v>27</v>
      </c>
      <c r="B50" s="7">
        <v>3</v>
      </c>
      <c r="C50" s="7">
        <v>47</v>
      </c>
      <c r="D50" s="7" t="s">
        <v>44</v>
      </c>
      <c r="E50" s="7" t="s">
        <v>54</v>
      </c>
      <c r="F50" s="7" t="s">
        <v>169</v>
      </c>
      <c r="G50" s="8"/>
      <c r="H50" s="7"/>
      <c r="I50" s="7"/>
      <c r="J50" s="9" t="s">
        <v>143</v>
      </c>
      <c r="K50" s="9" t="s">
        <v>144</v>
      </c>
      <c r="L50" s="9" t="s">
        <v>144</v>
      </c>
      <c r="M50" s="7"/>
    </row>
    <row r="51" spans="1:13" x14ac:dyDescent="0.45">
      <c r="A51" s="5" t="s">
        <v>27</v>
      </c>
      <c r="B51" s="5">
        <v>3</v>
      </c>
      <c r="C51" s="5">
        <v>48</v>
      </c>
      <c r="D51" s="5" t="s">
        <v>36</v>
      </c>
      <c r="E51" s="5" t="s">
        <v>65</v>
      </c>
      <c r="F51" s="5" t="s">
        <v>170</v>
      </c>
      <c r="G51" s="10"/>
      <c r="H51" s="5"/>
      <c r="I51" s="5"/>
      <c r="J51" s="9" t="s">
        <v>143</v>
      </c>
      <c r="K51" s="9" t="s">
        <v>144</v>
      </c>
      <c r="L51" s="9" t="s">
        <v>144</v>
      </c>
      <c r="M51" s="5"/>
    </row>
    <row r="52" spans="1:13" x14ac:dyDescent="0.45">
      <c r="A52" s="7" t="s">
        <v>28</v>
      </c>
      <c r="B52" s="7">
        <v>1</v>
      </c>
      <c r="C52" s="7">
        <v>49</v>
      </c>
      <c r="D52" s="7" t="s">
        <v>55</v>
      </c>
      <c r="E52" s="7" t="s">
        <v>72</v>
      </c>
      <c r="F52" s="7" t="s">
        <v>171</v>
      </c>
      <c r="G52" s="8"/>
      <c r="H52" s="7"/>
      <c r="I52" s="7"/>
      <c r="J52" s="9" t="s">
        <v>143</v>
      </c>
      <c r="K52" s="9" t="s">
        <v>144</v>
      </c>
      <c r="L52" s="9" t="s">
        <v>144</v>
      </c>
      <c r="M52" s="7"/>
    </row>
    <row r="53" spans="1:13" x14ac:dyDescent="0.45">
      <c r="A53" s="5" t="s">
        <v>28</v>
      </c>
      <c r="B53" s="5">
        <v>1</v>
      </c>
      <c r="C53" s="5">
        <v>50</v>
      </c>
      <c r="D53" s="5" t="s">
        <v>37</v>
      </c>
      <c r="E53" s="5" t="s">
        <v>133</v>
      </c>
      <c r="F53" s="5" t="s">
        <v>172</v>
      </c>
      <c r="G53" s="10"/>
      <c r="H53" s="5"/>
      <c r="I53" s="5"/>
      <c r="J53" s="9" t="s">
        <v>143</v>
      </c>
      <c r="K53" s="9" t="s">
        <v>144</v>
      </c>
      <c r="L53" s="9" t="s">
        <v>144</v>
      </c>
      <c r="M53" s="5"/>
    </row>
    <row r="54" spans="1:13" x14ac:dyDescent="0.45">
      <c r="A54" s="7" t="s">
        <v>28</v>
      </c>
      <c r="B54" s="7">
        <v>1</v>
      </c>
      <c r="C54" s="7">
        <v>51</v>
      </c>
      <c r="D54" s="7" t="s">
        <v>64</v>
      </c>
      <c r="E54" s="7" t="s">
        <v>60</v>
      </c>
      <c r="F54" s="7" t="s">
        <v>173</v>
      </c>
      <c r="G54" s="8"/>
      <c r="H54" s="7"/>
      <c r="I54" s="7"/>
      <c r="J54" s="9" t="s">
        <v>143</v>
      </c>
      <c r="K54" s="9" t="s">
        <v>144</v>
      </c>
      <c r="L54" s="9" t="s">
        <v>144</v>
      </c>
      <c r="M54" s="7"/>
    </row>
    <row r="55" spans="1:13" x14ac:dyDescent="0.45">
      <c r="A55" s="5" t="s">
        <v>28</v>
      </c>
      <c r="B55" s="5">
        <v>2</v>
      </c>
      <c r="C55" s="5">
        <v>52</v>
      </c>
      <c r="D55" s="5" t="s">
        <v>44</v>
      </c>
      <c r="E55" s="5" t="s">
        <v>72</v>
      </c>
      <c r="F55" s="5" t="s">
        <v>174</v>
      </c>
      <c r="G55" s="10"/>
      <c r="H55" s="5"/>
      <c r="I55" s="5"/>
      <c r="J55" s="9" t="s">
        <v>143</v>
      </c>
      <c r="K55" s="9" t="s">
        <v>144</v>
      </c>
      <c r="L55" s="9" t="s">
        <v>144</v>
      </c>
      <c r="M55" s="5"/>
    </row>
    <row r="56" spans="1:13" x14ac:dyDescent="0.45">
      <c r="A56" s="7" t="s">
        <v>28</v>
      </c>
      <c r="B56" s="7">
        <v>2</v>
      </c>
      <c r="C56" s="7">
        <v>53</v>
      </c>
      <c r="D56" s="7" t="s">
        <v>55</v>
      </c>
      <c r="E56" s="7" t="s">
        <v>60</v>
      </c>
      <c r="F56" s="7" t="s">
        <v>175</v>
      </c>
      <c r="G56" s="8"/>
      <c r="H56" s="7"/>
      <c r="I56" s="7"/>
      <c r="J56" s="9" t="s">
        <v>143</v>
      </c>
      <c r="K56" s="9" t="s">
        <v>144</v>
      </c>
      <c r="L56" s="9" t="s">
        <v>144</v>
      </c>
      <c r="M56" s="7"/>
    </row>
    <row r="57" spans="1:13" x14ac:dyDescent="0.45">
      <c r="A57" s="5" t="s">
        <v>28</v>
      </c>
      <c r="B57" s="5">
        <v>2</v>
      </c>
      <c r="C57" s="5">
        <v>54</v>
      </c>
      <c r="D57" s="5" t="s">
        <v>37</v>
      </c>
      <c r="E57" s="5" t="s">
        <v>64</v>
      </c>
      <c r="F57" s="5" t="s">
        <v>176</v>
      </c>
      <c r="G57" s="10"/>
      <c r="H57" s="5"/>
      <c r="I57" s="5"/>
      <c r="J57" s="9" t="s">
        <v>143</v>
      </c>
      <c r="K57" s="9" t="s">
        <v>144</v>
      </c>
      <c r="L57" s="9" t="s">
        <v>144</v>
      </c>
      <c r="M57" s="5"/>
    </row>
    <row r="58" spans="1:13" x14ac:dyDescent="0.45">
      <c r="A58" s="7" t="s">
        <v>28</v>
      </c>
      <c r="B58" s="7">
        <v>3</v>
      </c>
      <c r="C58" s="7">
        <v>55</v>
      </c>
      <c r="D58" s="7" t="s">
        <v>44</v>
      </c>
      <c r="E58" s="7" t="s">
        <v>133</v>
      </c>
      <c r="F58" s="7" t="s">
        <v>177</v>
      </c>
      <c r="G58" s="8"/>
      <c r="H58" s="7"/>
      <c r="I58" s="7"/>
      <c r="J58" s="9" t="s">
        <v>143</v>
      </c>
      <c r="K58" s="9" t="s">
        <v>144</v>
      </c>
      <c r="L58" s="9" t="s">
        <v>144</v>
      </c>
      <c r="M58" s="7"/>
    </row>
    <row r="59" spans="1:13" x14ac:dyDescent="0.45">
      <c r="A59" s="5" t="s">
        <v>28</v>
      </c>
      <c r="B59" s="5">
        <v>3</v>
      </c>
      <c r="C59" s="5">
        <v>56</v>
      </c>
      <c r="D59" s="5" t="s">
        <v>72</v>
      </c>
      <c r="E59" s="5" t="s">
        <v>60</v>
      </c>
      <c r="F59" s="5" t="s">
        <v>178</v>
      </c>
      <c r="G59" s="10"/>
      <c r="H59" s="5"/>
      <c r="I59" s="5"/>
      <c r="J59" s="9" t="s">
        <v>143</v>
      </c>
      <c r="K59" s="9" t="s">
        <v>144</v>
      </c>
      <c r="L59" s="9" t="s">
        <v>144</v>
      </c>
      <c r="M59" s="5"/>
    </row>
    <row r="60" spans="1:13" x14ac:dyDescent="0.45">
      <c r="A60" s="7" t="s">
        <v>28</v>
      </c>
      <c r="B60" s="7">
        <v>3</v>
      </c>
      <c r="C60" s="7">
        <v>57</v>
      </c>
      <c r="D60" s="7" t="s">
        <v>55</v>
      </c>
      <c r="E60" s="7" t="s">
        <v>37</v>
      </c>
      <c r="F60" s="7" t="s">
        <v>179</v>
      </c>
      <c r="G60" s="8"/>
      <c r="H60" s="7"/>
      <c r="I60" s="7"/>
      <c r="J60" s="9" t="s">
        <v>143</v>
      </c>
      <c r="K60" s="9" t="s">
        <v>144</v>
      </c>
      <c r="L60" s="9" t="s">
        <v>144</v>
      </c>
      <c r="M60" s="7"/>
    </row>
    <row r="61" spans="1:13" x14ac:dyDescent="0.45">
      <c r="A61" s="5" t="s">
        <v>28</v>
      </c>
      <c r="B61" s="5">
        <v>4</v>
      </c>
      <c r="C61" s="5">
        <v>58</v>
      </c>
      <c r="D61" s="5" t="s">
        <v>44</v>
      </c>
      <c r="E61" s="5" t="s">
        <v>60</v>
      </c>
      <c r="F61" s="5" t="s">
        <v>156</v>
      </c>
      <c r="G61" s="10"/>
      <c r="H61" s="5"/>
      <c r="I61" s="5"/>
      <c r="J61" s="9" t="s">
        <v>143</v>
      </c>
      <c r="K61" s="9" t="s">
        <v>144</v>
      </c>
      <c r="L61" s="9" t="s">
        <v>144</v>
      </c>
      <c r="M61" s="5"/>
    </row>
    <row r="62" spans="1:13" x14ac:dyDescent="0.45">
      <c r="A62" s="7" t="s">
        <v>28</v>
      </c>
      <c r="B62" s="7">
        <v>4</v>
      </c>
      <c r="C62" s="7">
        <v>59</v>
      </c>
      <c r="D62" s="7" t="s">
        <v>133</v>
      </c>
      <c r="E62" s="7" t="s">
        <v>64</v>
      </c>
      <c r="F62" s="7" t="s">
        <v>180</v>
      </c>
      <c r="G62" s="8"/>
      <c r="H62" s="7"/>
      <c r="I62" s="7"/>
      <c r="J62" s="9" t="s">
        <v>143</v>
      </c>
      <c r="K62" s="9" t="s">
        <v>144</v>
      </c>
      <c r="L62" s="9" t="s">
        <v>144</v>
      </c>
      <c r="M62" s="7"/>
    </row>
    <row r="63" spans="1:13" x14ac:dyDescent="0.45">
      <c r="A63" s="5" t="s">
        <v>28</v>
      </c>
      <c r="B63" s="5">
        <v>4</v>
      </c>
      <c r="C63" s="5">
        <v>60</v>
      </c>
      <c r="D63" s="5" t="s">
        <v>72</v>
      </c>
      <c r="E63" s="5" t="s">
        <v>37</v>
      </c>
      <c r="F63" s="5" t="s">
        <v>181</v>
      </c>
      <c r="G63" s="10"/>
      <c r="H63" s="5"/>
      <c r="I63" s="5"/>
      <c r="J63" s="9" t="s">
        <v>143</v>
      </c>
      <c r="K63" s="9" t="s">
        <v>144</v>
      </c>
      <c r="L63" s="9" t="s">
        <v>144</v>
      </c>
      <c r="M63" s="5"/>
    </row>
    <row r="64" spans="1:13" x14ac:dyDescent="0.45">
      <c r="A64" s="7" t="s">
        <v>28</v>
      </c>
      <c r="B64" s="7">
        <v>5</v>
      </c>
      <c r="C64" s="7">
        <v>61</v>
      </c>
      <c r="D64" s="7" t="s">
        <v>44</v>
      </c>
      <c r="E64" s="7" t="s">
        <v>64</v>
      </c>
      <c r="F64" s="7" t="s">
        <v>182</v>
      </c>
      <c r="G64" s="8"/>
      <c r="H64" s="7"/>
      <c r="I64" s="7"/>
      <c r="J64" s="9" t="s">
        <v>143</v>
      </c>
      <c r="K64" s="9" t="s">
        <v>144</v>
      </c>
      <c r="L64" s="9" t="s">
        <v>144</v>
      </c>
      <c r="M64" s="7"/>
    </row>
    <row r="65" spans="1:13" x14ac:dyDescent="0.45">
      <c r="A65" s="5" t="s">
        <v>28</v>
      </c>
      <c r="B65" s="5">
        <v>5</v>
      </c>
      <c r="C65" s="5">
        <v>62</v>
      </c>
      <c r="D65" s="5" t="s">
        <v>60</v>
      </c>
      <c r="E65" s="5" t="s">
        <v>37</v>
      </c>
      <c r="F65" s="5" t="s">
        <v>183</v>
      </c>
      <c r="G65" s="10"/>
      <c r="H65" s="5"/>
      <c r="I65" s="5"/>
      <c r="J65" s="9" t="s">
        <v>143</v>
      </c>
      <c r="K65" s="9" t="s">
        <v>144</v>
      </c>
      <c r="L65" s="9" t="s">
        <v>144</v>
      </c>
      <c r="M65" s="5"/>
    </row>
    <row r="66" spans="1:13" x14ac:dyDescent="0.45">
      <c r="A66" s="7" t="s">
        <v>28</v>
      </c>
      <c r="B66" s="7">
        <v>5</v>
      </c>
      <c r="C66" s="7">
        <v>63</v>
      </c>
      <c r="D66" s="7" t="s">
        <v>133</v>
      </c>
      <c r="E66" s="7" t="s">
        <v>55</v>
      </c>
      <c r="F66" s="7" t="s">
        <v>184</v>
      </c>
      <c r="G66" s="8"/>
      <c r="H66" s="7"/>
      <c r="I66" s="7"/>
      <c r="J66" s="9" t="s">
        <v>143</v>
      </c>
      <c r="K66" s="9" t="s">
        <v>144</v>
      </c>
      <c r="L66" s="9" t="s">
        <v>144</v>
      </c>
      <c r="M66" s="7"/>
    </row>
    <row r="67" spans="1:13" x14ac:dyDescent="0.45">
      <c r="A67" s="5" t="s">
        <v>28</v>
      </c>
      <c r="B67" s="5">
        <v>6</v>
      </c>
      <c r="C67" s="5">
        <v>64</v>
      </c>
      <c r="D67" s="5" t="s">
        <v>44</v>
      </c>
      <c r="E67" s="5" t="s">
        <v>37</v>
      </c>
      <c r="F67" s="5" t="s">
        <v>185</v>
      </c>
      <c r="G67" s="10"/>
      <c r="H67" s="5"/>
      <c r="I67" s="5"/>
      <c r="J67" s="9" t="s">
        <v>143</v>
      </c>
      <c r="K67" s="9" t="s">
        <v>144</v>
      </c>
      <c r="L67" s="9" t="s">
        <v>144</v>
      </c>
      <c r="M67" s="5"/>
    </row>
    <row r="68" spans="1:13" x14ac:dyDescent="0.45">
      <c r="A68" s="7" t="s">
        <v>28</v>
      </c>
      <c r="B68" s="7">
        <v>6</v>
      </c>
      <c r="C68" s="7">
        <v>65</v>
      </c>
      <c r="D68" s="7" t="s">
        <v>64</v>
      </c>
      <c r="E68" s="7" t="s">
        <v>55</v>
      </c>
      <c r="F68" s="7" t="s">
        <v>186</v>
      </c>
      <c r="G68" s="8"/>
      <c r="H68" s="7"/>
      <c r="I68" s="7"/>
      <c r="J68" s="9" t="s">
        <v>143</v>
      </c>
      <c r="K68" s="9" t="s">
        <v>144</v>
      </c>
      <c r="L68" s="9" t="s">
        <v>144</v>
      </c>
      <c r="M68" s="7"/>
    </row>
    <row r="69" spans="1:13" x14ac:dyDescent="0.45">
      <c r="A69" s="5" t="s">
        <v>28</v>
      </c>
      <c r="B69" s="5">
        <v>6</v>
      </c>
      <c r="C69" s="5">
        <v>66</v>
      </c>
      <c r="D69" s="5" t="s">
        <v>133</v>
      </c>
      <c r="E69" s="5" t="s">
        <v>72</v>
      </c>
      <c r="F69" s="5" t="s">
        <v>187</v>
      </c>
      <c r="G69" s="10"/>
      <c r="H69" s="5"/>
      <c r="I69" s="5"/>
      <c r="J69" s="9" t="s">
        <v>143</v>
      </c>
      <c r="K69" s="9" t="s">
        <v>144</v>
      </c>
      <c r="L69" s="9" t="s">
        <v>144</v>
      </c>
      <c r="M69" s="5"/>
    </row>
    <row r="70" spans="1:13" x14ac:dyDescent="0.45">
      <c r="A70" s="7" t="s">
        <v>28</v>
      </c>
      <c r="B70" s="7">
        <v>7</v>
      </c>
      <c r="C70" s="7">
        <v>67</v>
      </c>
      <c r="D70" s="7" t="s">
        <v>44</v>
      </c>
      <c r="E70" s="7" t="s">
        <v>55</v>
      </c>
      <c r="F70" s="7" t="s">
        <v>188</v>
      </c>
      <c r="G70" s="8"/>
      <c r="H70" s="7"/>
      <c r="I70" s="7"/>
      <c r="J70" s="9" t="s">
        <v>143</v>
      </c>
      <c r="K70" s="9" t="s">
        <v>144</v>
      </c>
      <c r="L70" s="9" t="s">
        <v>144</v>
      </c>
      <c r="M70" s="7"/>
    </row>
    <row r="71" spans="1:13" x14ac:dyDescent="0.45">
      <c r="A71" s="5" t="s">
        <v>28</v>
      </c>
      <c r="B71" s="5">
        <v>7</v>
      </c>
      <c r="C71" s="5">
        <v>68</v>
      </c>
      <c r="D71" s="5" t="s">
        <v>64</v>
      </c>
      <c r="E71" s="5" t="s">
        <v>72</v>
      </c>
      <c r="F71" s="5" t="s">
        <v>189</v>
      </c>
      <c r="G71" s="10"/>
      <c r="H71" s="5"/>
      <c r="I71" s="5"/>
      <c r="J71" s="9" t="s">
        <v>143</v>
      </c>
      <c r="K71" s="9" t="s">
        <v>144</v>
      </c>
      <c r="L71" s="9" t="s">
        <v>144</v>
      </c>
      <c r="M71" s="5"/>
    </row>
    <row r="72" spans="1:13" x14ac:dyDescent="0.45">
      <c r="A72" s="7" t="s">
        <v>28</v>
      </c>
      <c r="B72" s="7">
        <v>7</v>
      </c>
      <c r="C72" s="7">
        <v>69</v>
      </c>
      <c r="D72" s="7" t="s">
        <v>60</v>
      </c>
      <c r="E72" s="7" t="s">
        <v>133</v>
      </c>
      <c r="F72" s="7" t="s">
        <v>190</v>
      </c>
      <c r="G72" s="8"/>
      <c r="H72" s="7"/>
      <c r="I72" s="7"/>
      <c r="J72" s="9" t="s">
        <v>143</v>
      </c>
      <c r="K72" s="9" t="s">
        <v>144</v>
      </c>
      <c r="L72" s="9" t="s">
        <v>144</v>
      </c>
      <c r="M72" s="7"/>
    </row>
    <row r="73" spans="1:13" x14ac:dyDescent="0.45">
      <c r="A73" s="5" t="s">
        <v>132</v>
      </c>
      <c r="B73" s="5">
        <v>1</v>
      </c>
      <c r="C73" s="5">
        <v>70</v>
      </c>
      <c r="D73" s="5" t="s">
        <v>45</v>
      </c>
      <c r="E73" s="5" t="s">
        <v>66</v>
      </c>
      <c r="F73" s="5" t="s">
        <v>191</v>
      </c>
      <c r="G73" s="10"/>
      <c r="H73" s="5"/>
      <c r="I73" s="5"/>
      <c r="J73" s="9" t="s">
        <v>143</v>
      </c>
      <c r="K73" s="9" t="s">
        <v>144</v>
      </c>
      <c r="L73" s="9" t="s">
        <v>144</v>
      </c>
      <c r="M73" s="5"/>
    </row>
    <row r="74" spans="1:13" x14ac:dyDescent="0.45">
      <c r="A74" s="7" t="s">
        <v>132</v>
      </c>
      <c r="B74" s="7">
        <v>1</v>
      </c>
      <c r="C74" s="7">
        <v>71</v>
      </c>
      <c r="D74" s="7" t="s">
        <v>56</v>
      </c>
      <c r="E74" s="7" t="s">
        <v>38</v>
      </c>
      <c r="F74" s="7" t="s">
        <v>192</v>
      </c>
      <c r="G74" s="8"/>
      <c r="H74" s="7"/>
      <c r="I74" s="7"/>
      <c r="J74" s="9" t="s">
        <v>143</v>
      </c>
      <c r="K74" s="9" t="s">
        <v>144</v>
      </c>
      <c r="L74" s="9" t="s">
        <v>144</v>
      </c>
      <c r="M74" s="7"/>
    </row>
    <row r="75" spans="1:13" x14ac:dyDescent="0.45">
      <c r="A75" s="5" t="s">
        <v>132</v>
      </c>
      <c r="B75" s="5">
        <v>2</v>
      </c>
      <c r="C75" s="5">
        <v>72</v>
      </c>
      <c r="D75" s="5" t="s">
        <v>45</v>
      </c>
      <c r="E75" s="5" t="s">
        <v>38</v>
      </c>
      <c r="F75" s="5" t="s">
        <v>193</v>
      </c>
      <c r="G75" s="10"/>
      <c r="H75" s="5"/>
      <c r="I75" s="5"/>
      <c r="J75" s="9" t="s">
        <v>143</v>
      </c>
      <c r="K75" s="9" t="s">
        <v>144</v>
      </c>
      <c r="L75" s="9" t="s">
        <v>144</v>
      </c>
      <c r="M75" s="5"/>
    </row>
    <row r="76" spans="1:13" x14ac:dyDescent="0.45">
      <c r="A76" s="7" t="s">
        <v>132</v>
      </c>
      <c r="B76" s="7">
        <v>2</v>
      </c>
      <c r="C76" s="7">
        <v>73</v>
      </c>
      <c r="D76" s="7" t="s">
        <v>66</v>
      </c>
      <c r="E76" s="7" t="s">
        <v>56</v>
      </c>
      <c r="F76" s="7" t="s">
        <v>194</v>
      </c>
      <c r="G76" s="8"/>
      <c r="H76" s="7"/>
      <c r="I76" s="7"/>
      <c r="J76" s="9" t="s">
        <v>143</v>
      </c>
      <c r="K76" s="9" t="s">
        <v>144</v>
      </c>
      <c r="L76" s="9" t="s">
        <v>144</v>
      </c>
      <c r="M76" s="7"/>
    </row>
    <row r="77" spans="1:13" x14ac:dyDescent="0.45">
      <c r="A77" s="5" t="s">
        <v>132</v>
      </c>
      <c r="B77" s="5">
        <v>3</v>
      </c>
      <c r="C77" s="5">
        <v>74</v>
      </c>
      <c r="D77" s="5" t="s">
        <v>45</v>
      </c>
      <c r="E77" s="5" t="s">
        <v>56</v>
      </c>
      <c r="F77" s="5" t="s">
        <v>195</v>
      </c>
      <c r="G77" s="10"/>
      <c r="H77" s="5"/>
      <c r="I77" s="5"/>
      <c r="J77" s="9" t="s">
        <v>143</v>
      </c>
      <c r="K77" s="9" t="s">
        <v>144</v>
      </c>
      <c r="L77" s="9" t="s">
        <v>144</v>
      </c>
      <c r="M77" s="5"/>
    </row>
    <row r="78" spans="1:13" x14ac:dyDescent="0.45">
      <c r="A78" s="7" t="s">
        <v>132</v>
      </c>
      <c r="B78" s="7">
        <v>3</v>
      </c>
      <c r="C78" s="7">
        <v>75</v>
      </c>
      <c r="D78" s="7" t="s">
        <v>38</v>
      </c>
      <c r="E78" s="7" t="s">
        <v>66</v>
      </c>
      <c r="F78" s="7" t="s">
        <v>196</v>
      </c>
      <c r="G78" s="8"/>
      <c r="H78" s="7"/>
      <c r="I78" s="7"/>
      <c r="J78" s="9" t="s">
        <v>143</v>
      </c>
      <c r="K78" s="9" t="s">
        <v>144</v>
      </c>
      <c r="L78" s="9" t="s">
        <v>144</v>
      </c>
      <c r="M78" s="7"/>
    </row>
  </sheetData>
  <autoFilter ref="A3:M78" xr:uid="{00000000-0009-0000-0000-000006000000}"/>
  <mergeCells count="2">
    <mergeCell ref="A2:M2"/>
    <mergeCell ref="A1:M1"/>
  </mergeCells>
  <conditionalFormatting sqref="J4:J78">
    <cfRule type="expression" dxfId="11" priority="1">
      <formula>J4="Completed"</formula>
    </cfRule>
    <cfRule type="expression" dxfId="10" priority="2">
      <formula>J4="Scheduled"</formula>
    </cfRule>
    <cfRule type="expression" dxfId="9" priority="3">
      <formula>J4="To Be Scheduled"</formula>
    </cfRule>
  </conditionalFormatting>
  <conditionalFormatting sqref="K4:L78">
    <cfRule type="expression" dxfId="8" priority="4">
      <formula>K4="Paid"</formula>
    </cfRule>
    <cfRule type="expression" dxfId="7" priority="5">
      <formula>L4="Paid"</formula>
    </cfRule>
  </conditionalFormatting>
  <dataValidations count="2">
    <dataValidation type="list" sqref="J4:J78" xr:uid="{00000000-0002-0000-0600-000000000000}">
      <formula1>"To Be Scheduled,Scheduled,Completed,Cancelled"</formula1>
    </dataValidation>
    <dataValidation type="list" sqref="K4:L78" xr:uid="{00000000-0002-0000-0600-000001000000}">
      <formula1>"Pending,Paid"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0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14" customWidth="1"/>
    <col min="2" max="2" width="27" customWidth="1"/>
    <col min="3" max="3" width="14" customWidth="1"/>
    <col min="4" max="4" width="25" customWidth="1"/>
    <col min="5" max="5" width="28" customWidth="1"/>
    <col min="6" max="6" width="18" customWidth="1"/>
    <col min="7" max="7" width="28" customWidth="1"/>
    <col min="8" max="8" width="18" customWidth="1"/>
    <col min="9" max="9" width="22" customWidth="1"/>
    <col min="10" max="10" width="32" customWidth="1"/>
  </cols>
  <sheetData>
    <row r="1" spans="1:10" ht="32" customHeight="1" x14ac:dyDescent="0.45">
      <c r="A1" s="44" t="s">
        <v>197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45">
      <c r="A2" s="53" t="s">
        <v>198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4.049999999999997" customHeight="1" x14ac:dyDescent="0.45">
      <c r="A3" s="11" t="s">
        <v>103</v>
      </c>
      <c r="B3" s="11" t="s">
        <v>15</v>
      </c>
      <c r="C3" s="11" t="s">
        <v>104</v>
      </c>
      <c r="D3" s="11" t="s">
        <v>136</v>
      </c>
      <c r="E3" s="11" t="s">
        <v>106</v>
      </c>
      <c r="F3" s="11" t="s">
        <v>107</v>
      </c>
      <c r="G3" s="11" t="s">
        <v>108</v>
      </c>
      <c r="H3" s="11" t="s">
        <v>109</v>
      </c>
      <c r="I3" s="11" t="s">
        <v>199</v>
      </c>
      <c r="J3" s="11" t="s">
        <v>111</v>
      </c>
    </row>
    <row r="4" spans="1:10" ht="22.05" customHeight="1" x14ac:dyDescent="0.45">
      <c r="A4" s="32" t="s">
        <v>200</v>
      </c>
      <c r="B4" s="33" t="s">
        <v>32</v>
      </c>
      <c r="C4" s="33" t="s">
        <v>201</v>
      </c>
      <c r="D4" s="33" t="s">
        <v>25</v>
      </c>
      <c r="E4" s="33" t="s">
        <v>44</v>
      </c>
      <c r="F4" s="34" t="s">
        <v>144</v>
      </c>
      <c r="G4" s="33" t="s">
        <v>202</v>
      </c>
      <c r="H4" s="34" t="s">
        <v>144</v>
      </c>
      <c r="I4" s="33" t="str">
        <f t="shared" ref="I4:I35" si="0">IF(COUNTA(E4,G4)=0,"",IF(AND(OR(F4="Paid",F4="Not Applicable"),OR(H4="Paid",H4="Not Applicable")),"Both Paid",IF(AND(F4="Pending",H4="Pending"),"Both Pending","Partially Paid")))</f>
        <v>Both Pending</v>
      </c>
      <c r="J4" s="33"/>
    </row>
    <row r="5" spans="1:10" ht="22.05" customHeight="1" x14ac:dyDescent="0.45">
      <c r="A5" s="35" t="s">
        <v>203</v>
      </c>
      <c r="B5" s="36" t="s">
        <v>39</v>
      </c>
      <c r="C5" s="36" t="s">
        <v>201</v>
      </c>
      <c r="D5" s="36" t="s">
        <v>25</v>
      </c>
      <c r="E5" s="36" t="s">
        <v>38</v>
      </c>
      <c r="F5" s="34" t="s">
        <v>144</v>
      </c>
      <c r="G5" s="36" t="s">
        <v>59</v>
      </c>
      <c r="H5" s="34" t="s">
        <v>144</v>
      </c>
      <c r="I5" s="36" t="str">
        <f t="shared" si="0"/>
        <v>Both Pending</v>
      </c>
      <c r="J5" s="36"/>
    </row>
    <row r="6" spans="1:10" ht="22.05" customHeight="1" x14ac:dyDescent="0.45">
      <c r="A6" s="32" t="s">
        <v>203</v>
      </c>
      <c r="B6" s="33" t="s">
        <v>39</v>
      </c>
      <c r="C6" s="33" t="s">
        <v>204</v>
      </c>
      <c r="D6" s="33" t="s">
        <v>25</v>
      </c>
      <c r="E6" s="33" t="s">
        <v>35</v>
      </c>
      <c r="F6" s="34" t="s">
        <v>144</v>
      </c>
      <c r="G6" s="33" t="s">
        <v>53</v>
      </c>
      <c r="H6" s="34" t="s">
        <v>144</v>
      </c>
      <c r="I6" s="33" t="str">
        <f t="shared" si="0"/>
        <v>Both Pending</v>
      </c>
      <c r="J6" s="33"/>
    </row>
    <row r="7" spans="1:10" ht="22.05" customHeight="1" x14ac:dyDescent="0.45">
      <c r="A7" s="35" t="s">
        <v>205</v>
      </c>
      <c r="B7" s="36" t="s">
        <v>39</v>
      </c>
      <c r="C7" s="36" t="s">
        <v>201</v>
      </c>
      <c r="D7" s="36" t="s">
        <v>25</v>
      </c>
      <c r="E7" s="36" t="s">
        <v>66</v>
      </c>
      <c r="F7" s="34" t="s">
        <v>144</v>
      </c>
      <c r="G7" s="36" t="s">
        <v>64</v>
      </c>
      <c r="H7" s="34" t="s">
        <v>144</v>
      </c>
      <c r="I7" s="36" t="str">
        <f t="shared" si="0"/>
        <v>Both Pending</v>
      </c>
      <c r="J7" s="36"/>
    </row>
    <row r="8" spans="1:10" ht="22.05" customHeight="1" x14ac:dyDescent="0.45">
      <c r="A8" s="32" t="s">
        <v>206</v>
      </c>
      <c r="B8" s="33" t="s">
        <v>32</v>
      </c>
      <c r="C8" s="33" t="s">
        <v>201</v>
      </c>
      <c r="D8" s="33" t="s">
        <v>25</v>
      </c>
      <c r="E8" s="33" t="s">
        <v>56</v>
      </c>
      <c r="F8" s="34" t="s">
        <v>144</v>
      </c>
      <c r="G8" s="33" t="s">
        <v>66</v>
      </c>
      <c r="H8" s="34" t="s">
        <v>144</v>
      </c>
      <c r="I8" s="33" t="str">
        <f t="shared" si="0"/>
        <v>Both Pending</v>
      </c>
      <c r="J8" s="33" t="s">
        <v>207</v>
      </c>
    </row>
    <row r="9" spans="1:10" ht="22.05" customHeight="1" x14ac:dyDescent="0.45">
      <c r="A9" s="35" t="s">
        <v>206</v>
      </c>
      <c r="B9" s="36" t="s">
        <v>32</v>
      </c>
      <c r="C9" s="36" t="s">
        <v>204</v>
      </c>
      <c r="D9" s="36" t="s">
        <v>25</v>
      </c>
      <c r="E9" s="36" t="s">
        <v>44</v>
      </c>
      <c r="F9" s="34" t="s">
        <v>144</v>
      </c>
      <c r="G9" s="36" t="s">
        <v>53</v>
      </c>
      <c r="H9" s="34" t="s">
        <v>144</v>
      </c>
      <c r="I9" s="36" t="str">
        <f t="shared" si="0"/>
        <v>Both Pending</v>
      </c>
      <c r="J9" s="36"/>
    </row>
    <row r="10" spans="1:10" ht="22.05" customHeight="1" x14ac:dyDescent="0.45">
      <c r="A10" s="32" t="s">
        <v>206</v>
      </c>
      <c r="B10" s="33" t="s">
        <v>39</v>
      </c>
      <c r="C10" s="33" t="s">
        <v>201</v>
      </c>
      <c r="D10" s="33" t="s">
        <v>25</v>
      </c>
      <c r="E10" s="33" t="s">
        <v>38</v>
      </c>
      <c r="F10" s="34" t="s">
        <v>144</v>
      </c>
      <c r="G10" s="33" t="s">
        <v>59</v>
      </c>
      <c r="H10" s="34" t="s">
        <v>144</v>
      </c>
      <c r="I10" s="33" t="str">
        <f t="shared" si="0"/>
        <v>Both Pending</v>
      </c>
      <c r="J10" s="33" t="s">
        <v>207</v>
      </c>
    </row>
    <row r="11" spans="1:10" ht="22.05" customHeight="1" x14ac:dyDescent="0.45">
      <c r="A11" s="35" t="s">
        <v>208</v>
      </c>
      <c r="B11" s="36" t="s">
        <v>32</v>
      </c>
      <c r="C11" s="36" t="s">
        <v>201</v>
      </c>
      <c r="D11" s="36" t="s">
        <v>25</v>
      </c>
      <c r="E11" s="36" t="s">
        <v>209</v>
      </c>
      <c r="F11" s="34" t="s">
        <v>144</v>
      </c>
      <c r="G11" s="36" t="s">
        <v>59</v>
      </c>
      <c r="H11" s="34" t="s">
        <v>144</v>
      </c>
      <c r="I11" s="36" t="str">
        <f t="shared" si="0"/>
        <v>Both Pending</v>
      </c>
      <c r="J11" s="36"/>
    </row>
    <row r="12" spans="1:10" ht="22.05" customHeight="1" x14ac:dyDescent="0.45">
      <c r="A12" s="32" t="s">
        <v>208</v>
      </c>
      <c r="B12" s="33" t="s">
        <v>39</v>
      </c>
      <c r="C12" s="33" t="s">
        <v>201</v>
      </c>
      <c r="D12" s="33" t="s">
        <v>25</v>
      </c>
      <c r="E12" s="33" t="s">
        <v>66</v>
      </c>
      <c r="F12" s="34" t="s">
        <v>144</v>
      </c>
      <c r="G12" s="33" t="s">
        <v>64</v>
      </c>
      <c r="H12" s="34" t="s">
        <v>144</v>
      </c>
      <c r="I12" s="33" t="str">
        <f t="shared" si="0"/>
        <v>Both Pending</v>
      </c>
      <c r="J12" s="33"/>
    </row>
    <row r="13" spans="1:10" ht="22.05" customHeight="1" x14ac:dyDescent="0.45">
      <c r="A13" s="35" t="s">
        <v>208</v>
      </c>
      <c r="B13" s="36" t="s">
        <v>46</v>
      </c>
      <c r="C13" s="36" t="s">
        <v>201</v>
      </c>
      <c r="D13" s="36" t="s">
        <v>25</v>
      </c>
      <c r="E13" s="36" t="s">
        <v>210</v>
      </c>
      <c r="F13" s="34" t="s">
        <v>144</v>
      </c>
      <c r="G13" s="36" t="s">
        <v>211</v>
      </c>
      <c r="H13" s="34" t="s">
        <v>144</v>
      </c>
      <c r="I13" s="36" t="str">
        <f t="shared" si="0"/>
        <v>Both Pending</v>
      </c>
      <c r="J13" s="36"/>
    </row>
    <row r="14" spans="1:10" ht="22.05" customHeight="1" x14ac:dyDescent="0.45">
      <c r="A14" s="32" t="s">
        <v>208</v>
      </c>
      <c r="B14" s="33" t="s">
        <v>39</v>
      </c>
      <c r="C14" s="33" t="s">
        <v>212</v>
      </c>
      <c r="D14" s="33" t="s">
        <v>25</v>
      </c>
      <c r="E14" s="33" t="s">
        <v>213</v>
      </c>
      <c r="F14" s="34" t="s">
        <v>144</v>
      </c>
      <c r="G14" s="33" t="s">
        <v>63</v>
      </c>
      <c r="H14" s="34" t="s">
        <v>144</v>
      </c>
      <c r="I14" s="33" t="str">
        <f t="shared" si="0"/>
        <v>Both Pending</v>
      </c>
      <c r="J14" s="33" t="s">
        <v>214</v>
      </c>
    </row>
    <row r="15" spans="1:10" ht="22.05" customHeight="1" x14ac:dyDescent="0.45">
      <c r="A15" s="35" t="s">
        <v>215</v>
      </c>
      <c r="B15" s="36" t="s">
        <v>32</v>
      </c>
      <c r="C15" s="36" t="s">
        <v>201</v>
      </c>
      <c r="D15" s="36" t="s">
        <v>25</v>
      </c>
      <c r="E15" s="36" t="s">
        <v>211</v>
      </c>
      <c r="F15" s="34" t="s">
        <v>144</v>
      </c>
      <c r="G15" s="36" t="s">
        <v>216</v>
      </c>
      <c r="H15" s="34" t="s">
        <v>144</v>
      </c>
      <c r="I15" s="36" t="str">
        <f t="shared" si="0"/>
        <v>Both Pending</v>
      </c>
      <c r="J15" s="36" t="s">
        <v>217</v>
      </c>
    </row>
    <row r="16" spans="1:10" ht="22.05" customHeight="1" x14ac:dyDescent="0.45">
      <c r="A16" s="32" t="s">
        <v>215</v>
      </c>
      <c r="B16" s="33" t="s">
        <v>32</v>
      </c>
      <c r="C16" s="33" t="s">
        <v>204</v>
      </c>
      <c r="D16" s="33" t="s">
        <v>26</v>
      </c>
      <c r="E16" s="33" t="s">
        <v>71</v>
      </c>
      <c r="F16" s="34" t="s">
        <v>144</v>
      </c>
      <c r="G16" s="33" t="s">
        <v>59</v>
      </c>
      <c r="H16" s="34" t="s">
        <v>144</v>
      </c>
      <c r="I16" s="33" t="str">
        <f t="shared" si="0"/>
        <v>Both Pending</v>
      </c>
      <c r="J16" s="33"/>
    </row>
    <row r="17" spans="1:10" ht="22.05" customHeight="1" x14ac:dyDescent="0.45">
      <c r="A17" s="35" t="s">
        <v>218</v>
      </c>
      <c r="B17" s="36" t="s">
        <v>32</v>
      </c>
      <c r="C17" s="36" t="s">
        <v>201</v>
      </c>
      <c r="D17" s="36" t="s">
        <v>25</v>
      </c>
      <c r="E17" s="36" t="s">
        <v>133</v>
      </c>
      <c r="F17" s="34" t="s">
        <v>144</v>
      </c>
      <c r="G17" s="36" t="s">
        <v>64</v>
      </c>
      <c r="H17" s="34" t="s">
        <v>144</v>
      </c>
      <c r="I17" s="36" t="str">
        <f t="shared" si="0"/>
        <v>Both Pending</v>
      </c>
      <c r="J17" s="36"/>
    </row>
    <row r="18" spans="1:10" ht="22.05" customHeight="1" x14ac:dyDescent="0.45">
      <c r="A18" s="32" t="s">
        <v>218</v>
      </c>
      <c r="B18" s="33" t="s">
        <v>32</v>
      </c>
      <c r="C18" s="33" t="s">
        <v>204</v>
      </c>
      <c r="D18" s="33" t="s">
        <v>26</v>
      </c>
      <c r="E18" s="33" t="s">
        <v>38</v>
      </c>
      <c r="F18" s="34" t="s">
        <v>144</v>
      </c>
      <c r="G18" s="33" t="s">
        <v>53</v>
      </c>
      <c r="H18" s="34" t="s">
        <v>144</v>
      </c>
      <c r="I18" s="33" t="str">
        <f t="shared" si="0"/>
        <v>Both Pending</v>
      </c>
      <c r="J18" s="33"/>
    </row>
    <row r="19" spans="1:10" ht="22.05" customHeight="1" x14ac:dyDescent="0.45">
      <c r="A19" s="35"/>
      <c r="B19" s="36"/>
      <c r="C19" s="36"/>
      <c r="D19" s="36"/>
      <c r="E19" s="36"/>
      <c r="F19" s="34" t="s">
        <v>144</v>
      </c>
      <c r="G19" s="36"/>
      <c r="H19" s="34" t="s">
        <v>144</v>
      </c>
      <c r="I19" s="36" t="str">
        <f t="shared" si="0"/>
        <v/>
      </c>
      <c r="J19" s="36"/>
    </row>
    <row r="20" spans="1:10" ht="22.05" customHeight="1" x14ac:dyDescent="0.45">
      <c r="A20" s="32"/>
      <c r="B20" s="33"/>
      <c r="C20" s="33"/>
      <c r="D20" s="33"/>
      <c r="E20" s="33"/>
      <c r="F20" s="34" t="s">
        <v>144</v>
      </c>
      <c r="G20" s="33"/>
      <c r="H20" s="34" t="s">
        <v>144</v>
      </c>
      <c r="I20" s="33" t="str">
        <f t="shared" si="0"/>
        <v/>
      </c>
      <c r="J20" s="33"/>
    </row>
    <row r="21" spans="1:10" ht="22.05" customHeight="1" x14ac:dyDescent="0.45">
      <c r="A21" s="35"/>
      <c r="B21" s="36"/>
      <c r="C21" s="36"/>
      <c r="D21" s="36"/>
      <c r="E21" s="36"/>
      <c r="F21" s="34" t="s">
        <v>144</v>
      </c>
      <c r="G21" s="36"/>
      <c r="H21" s="34" t="s">
        <v>144</v>
      </c>
      <c r="I21" s="36" t="str">
        <f t="shared" si="0"/>
        <v/>
      </c>
      <c r="J21" s="36"/>
    </row>
    <row r="22" spans="1:10" ht="22.05" customHeight="1" x14ac:dyDescent="0.45">
      <c r="A22" s="32"/>
      <c r="B22" s="33"/>
      <c r="C22" s="33"/>
      <c r="D22" s="33"/>
      <c r="E22" s="33"/>
      <c r="F22" s="34" t="s">
        <v>144</v>
      </c>
      <c r="G22" s="33"/>
      <c r="H22" s="34" t="s">
        <v>144</v>
      </c>
      <c r="I22" s="33" t="str">
        <f t="shared" si="0"/>
        <v/>
      </c>
      <c r="J22" s="33"/>
    </row>
    <row r="23" spans="1:10" ht="22.05" customHeight="1" x14ac:dyDescent="0.45">
      <c r="A23" s="35"/>
      <c r="B23" s="36"/>
      <c r="C23" s="36"/>
      <c r="D23" s="36"/>
      <c r="E23" s="36"/>
      <c r="F23" s="34" t="s">
        <v>144</v>
      </c>
      <c r="G23" s="36"/>
      <c r="H23" s="34" t="s">
        <v>144</v>
      </c>
      <c r="I23" s="36" t="str">
        <f t="shared" si="0"/>
        <v/>
      </c>
      <c r="J23" s="36"/>
    </row>
    <row r="24" spans="1:10" ht="22.05" customHeight="1" x14ac:dyDescent="0.45">
      <c r="A24" s="32"/>
      <c r="B24" s="33"/>
      <c r="C24" s="33"/>
      <c r="D24" s="33"/>
      <c r="E24" s="33"/>
      <c r="F24" s="34" t="s">
        <v>144</v>
      </c>
      <c r="G24" s="33"/>
      <c r="H24" s="34" t="s">
        <v>144</v>
      </c>
      <c r="I24" s="33" t="str">
        <f t="shared" si="0"/>
        <v/>
      </c>
      <c r="J24" s="33"/>
    </row>
    <row r="25" spans="1:10" ht="22.05" customHeight="1" x14ac:dyDescent="0.45">
      <c r="A25" s="35"/>
      <c r="B25" s="36"/>
      <c r="C25" s="36"/>
      <c r="D25" s="36"/>
      <c r="E25" s="36"/>
      <c r="F25" s="34" t="s">
        <v>144</v>
      </c>
      <c r="G25" s="36"/>
      <c r="H25" s="34" t="s">
        <v>144</v>
      </c>
      <c r="I25" s="36" t="str">
        <f t="shared" si="0"/>
        <v/>
      </c>
      <c r="J25" s="36"/>
    </row>
    <row r="26" spans="1:10" ht="22.05" customHeight="1" x14ac:dyDescent="0.45">
      <c r="A26" s="32"/>
      <c r="B26" s="33"/>
      <c r="C26" s="33"/>
      <c r="D26" s="33"/>
      <c r="E26" s="33"/>
      <c r="F26" s="34" t="s">
        <v>144</v>
      </c>
      <c r="G26" s="33"/>
      <c r="H26" s="34" t="s">
        <v>144</v>
      </c>
      <c r="I26" s="33" t="str">
        <f t="shared" si="0"/>
        <v/>
      </c>
      <c r="J26" s="33"/>
    </row>
    <row r="27" spans="1:10" ht="22.05" customHeight="1" x14ac:dyDescent="0.45">
      <c r="A27" s="35"/>
      <c r="B27" s="36"/>
      <c r="C27" s="36"/>
      <c r="D27" s="36"/>
      <c r="E27" s="36"/>
      <c r="F27" s="34" t="s">
        <v>144</v>
      </c>
      <c r="G27" s="36"/>
      <c r="H27" s="34" t="s">
        <v>144</v>
      </c>
      <c r="I27" s="36" t="str">
        <f t="shared" si="0"/>
        <v/>
      </c>
      <c r="J27" s="36"/>
    </row>
    <row r="28" spans="1:10" ht="22.05" customHeight="1" x14ac:dyDescent="0.45">
      <c r="A28" s="32"/>
      <c r="B28" s="33"/>
      <c r="C28" s="33"/>
      <c r="D28" s="33"/>
      <c r="E28" s="33"/>
      <c r="F28" s="34" t="s">
        <v>144</v>
      </c>
      <c r="G28" s="33"/>
      <c r="H28" s="34" t="s">
        <v>144</v>
      </c>
      <c r="I28" s="33" t="str">
        <f t="shared" si="0"/>
        <v/>
      </c>
      <c r="J28" s="33"/>
    </row>
    <row r="29" spans="1:10" ht="22.05" customHeight="1" x14ac:dyDescent="0.45">
      <c r="A29" s="35"/>
      <c r="B29" s="36"/>
      <c r="C29" s="36"/>
      <c r="D29" s="36"/>
      <c r="E29" s="36"/>
      <c r="F29" s="34" t="s">
        <v>144</v>
      </c>
      <c r="G29" s="36"/>
      <c r="H29" s="34" t="s">
        <v>144</v>
      </c>
      <c r="I29" s="36" t="str">
        <f t="shared" si="0"/>
        <v/>
      </c>
      <c r="J29" s="36"/>
    </row>
    <row r="30" spans="1:10" ht="22.05" customHeight="1" x14ac:dyDescent="0.45">
      <c r="A30" s="32"/>
      <c r="B30" s="33"/>
      <c r="C30" s="33"/>
      <c r="D30" s="33"/>
      <c r="E30" s="33"/>
      <c r="F30" s="34" t="s">
        <v>144</v>
      </c>
      <c r="G30" s="33"/>
      <c r="H30" s="34" t="s">
        <v>144</v>
      </c>
      <c r="I30" s="33" t="str">
        <f t="shared" si="0"/>
        <v/>
      </c>
      <c r="J30" s="33"/>
    </row>
    <row r="31" spans="1:10" ht="22.05" customHeight="1" x14ac:dyDescent="0.45">
      <c r="A31" s="35"/>
      <c r="B31" s="36"/>
      <c r="C31" s="36"/>
      <c r="D31" s="36"/>
      <c r="E31" s="36"/>
      <c r="F31" s="34" t="s">
        <v>144</v>
      </c>
      <c r="G31" s="36"/>
      <c r="H31" s="34" t="s">
        <v>144</v>
      </c>
      <c r="I31" s="36" t="str">
        <f t="shared" si="0"/>
        <v/>
      </c>
      <c r="J31" s="36"/>
    </row>
    <row r="32" spans="1:10" ht="22.05" customHeight="1" x14ac:dyDescent="0.45">
      <c r="A32" s="32"/>
      <c r="B32" s="33"/>
      <c r="C32" s="33"/>
      <c r="D32" s="33"/>
      <c r="E32" s="33"/>
      <c r="F32" s="34" t="s">
        <v>144</v>
      </c>
      <c r="G32" s="33"/>
      <c r="H32" s="34" t="s">
        <v>144</v>
      </c>
      <c r="I32" s="33" t="str">
        <f t="shared" si="0"/>
        <v/>
      </c>
      <c r="J32" s="33"/>
    </row>
    <row r="33" spans="1:10" ht="22.05" customHeight="1" x14ac:dyDescent="0.45">
      <c r="A33" s="35"/>
      <c r="B33" s="36"/>
      <c r="C33" s="36"/>
      <c r="D33" s="36"/>
      <c r="E33" s="36"/>
      <c r="F33" s="34" t="s">
        <v>144</v>
      </c>
      <c r="G33" s="36"/>
      <c r="H33" s="34" t="s">
        <v>144</v>
      </c>
      <c r="I33" s="36" t="str">
        <f t="shared" si="0"/>
        <v/>
      </c>
      <c r="J33" s="36"/>
    </row>
    <row r="34" spans="1:10" ht="22.05" customHeight="1" x14ac:dyDescent="0.45">
      <c r="A34" s="32"/>
      <c r="B34" s="33"/>
      <c r="C34" s="33"/>
      <c r="D34" s="33"/>
      <c r="E34" s="33"/>
      <c r="F34" s="34" t="s">
        <v>144</v>
      </c>
      <c r="G34" s="33"/>
      <c r="H34" s="34" t="s">
        <v>144</v>
      </c>
      <c r="I34" s="33" t="str">
        <f t="shared" si="0"/>
        <v/>
      </c>
      <c r="J34" s="33"/>
    </row>
    <row r="35" spans="1:10" ht="22.05" customHeight="1" x14ac:dyDescent="0.45">
      <c r="A35" s="35"/>
      <c r="B35" s="36"/>
      <c r="C35" s="36"/>
      <c r="D35" s="36"/>
      <c r="E35" s="36"/>
      <c r="F35" s="34" t="s">
        <v>144</v>
      </c>
      <c r="G35" s="36"/>
      <c r="H35" s="34" t="s">
        <v>144</v>
      </c>
      <c r="I35" s="36" t="str">
        <f t="shared" si="0"/>
        <v/>
      </c>
      <c r="J35" s="36"/>
    </row>
    <row r="36" spans="1:10" ht="22.05" customHeight="1" x14ac:dyDescent="0.45">
      <c r="A36" s="32"/>
      <c r="B36" s="33"/>
      <c r="C36" s="33"/>
      <c r="D36" s="33"/>
      <c r="E36" s="33"/>
      <c r="F36" s="34" t="s">
        <v>144</v>
      </c>
      <c r="G36" s="33"/>
      <c r="H36" s="34" t="s">
        <v>144</v>
      </c>
      <c r="I36" s="33" t="str">
        <f t="shared" ref="I36:I67" si="1">IF(COUNTA(E36,G36)=0,"",IF(AND(OR(F36="Paid",F36="Not Applicable"),OR(H36="Paid",H36="Not Applicable")),"Both Paid",IF(AND(F36="Pending",H36="Pending"),"Both Pending","Partially Paid")))</f>
        <v/>
      </c>
      <c r="J36" s="33"/>
    </row>
    <row r="37" spans="1:10" ht="22.05" customHeight="1" x14ac:dyDescent="0.45">
      <c r="A37" s="35"/>
      <c r="B37" s="36"/>
      <c r="C37" s="36"/>
      <c r="D37" s="36"/>
      <c r="E37" s="36"/>
      <c r="F37" s="34" t="s">
        <v>144</v>
      </c>
      <c r="G37" s="36"/>
      <c r="H37" s="34" t="s">
        <v>144</v>
      </c>
      <c r="I37" s="36" t="str">
        <f t="shared" si="1"/>
        <v/>
      </c>
      <c r="J37" s="36"/>
    </row>
    <row r="38" spans="1:10" ht="22.05" customHeight="1" x14ac:dyDescent="0.45">
      <c r="A38" s="32"/>
      <c r="B38" s="33"/>
      <c r="C38" s="33"/>
      <c r="D38" s="33"/>
      <c r="E38" s="33"/>
      <c r="F38" s="34" t="s">
        <v>144</v>
      </c>
      <c r="G38" s="33"/>
      <c r="H38" s="34" t="s">
        <v>144</v>
      </c>
      <c r="I38" s="33" t="str">
        <f t="shared" si="1"/>
        <v/>
      </c>
      <c r="J38" s="33"/>
    </row>
    <row r="39" spans="1:10" ht="22.05" customHeight="1" x14ac:dyDescent="0.45">
      <c r="A39" s="35"/>
      <c r="B39" s="36"/>
      <c r="C39" s="36"/>
      <c r="D39" s="36"/>
      <c r="E39" s="36"/>
      <c r="F39" s="34" t="s">
        <v>144</v>
      </c>
      <c r="G39" s="36"/>
      <c r="H39" s="34" t="s">
        <v>144</v>
      </c>
      <c r="I39" s="36" t="str">
        <f t="shared" si="1"/>
        <v/>
      </c>
      <c r="J39" s="36"/>
    </row>
    <row r="40" spans="1:10" ht="22.05" customHeight="1" x14ac:dyDescent="0.45">
      <c r="A40" s="32"/>
      <c r="B40" s="33"/>
      <c r="C40" s="33"/>
      <c r="D40" s="33"/>
      <c r="E40" s="33"/>
      <c r="F40" s="34" t="s">
        <v>144</v>
      </c>
      <c r="G40" s="33"/>
      <c r="H40" s="34" t="s">
        <v>144</v>
      </c>
      <c r="I40" s="33" t="str">
        <f t="shared" si="1"/>
        <v/>
      </c>
      <c r="J40" s="33"/>
    </row>
    <row r="41" spans="1:10" ht="22.05" customHeight="1" x14ac:dyDescent="0.45">
      <c r="A41" s="35"/>
      <c r="B41" s="36"/>
      <c r="C41" s="36"/>
      <c r="D41" s="36"/>
      <c r="E41" s="36"/>
      <c r="F41" s="34" t="s">
        <v>144</v>
      </c>
      <c r="G41" s="36"/>
      <c r="H41" s="34" t="s">
        <v>144</v>
      </c>
      <c r="I41" s="36" t="str">
        <f t="shared" si="1"/>
        <v/>
      </c>
      <c r="J41" s="36"/>
    </row>
    <row r="42" spans="1:10" ht="22.05" customHeight="1" x14ac:dyDescent="0.45">
      <c r="A42" s="32"/>
      <c r="B42" s="33"/>
      <c r="C42" s="33"/>
      <c r="D42" s="33"/>
      <c r="E42" s="33"/>
      <c r="F42" s="34" t="s">
        <v>144</v>
      </c>
      <c r="G42" s="33"/>
      <c r="H42" s="34" t="s">
        <v>144</v>
      </c>
      <c r="I42" s="33" t="str">
        <f t="shared" si="1"/>
        <v/>
      </c>
      <c r="J42" s="33"/>
    </row>
    <row r="43" spans="1:10" ht="22.05" customHeight="1" x14ac:dyDescent="0.45">
      <c r="A43" s="35"/>
      <c r="B43" s="36"/>
      <c r="C43" s="36"/>
      <c r="D43" s="36"/>
      <c r="E43" s="36"/>
      <c r="F43" s="34" t="s">
        <v>144</v>
      </c>
      <c r="G43" s="36"/>
      <c r="H43" s="34" t="s">
        <v>144</v>
      </c>
      <c r="I43" s="36" t="str">
        <f t="shared" si="1"/>
        <v/>
      </c>
      <c r="J43" s="36"/>
    </row>
    <row r="44" spans="1:10" ht="22.05" customHeight="1" x14ac:dyDescent="0.45">
      <c r="A44" s="32"/>
      <c r="B44" s="33"/>
      <c r="C44" s="33"/>
      <c r="D44" s="33"/>
      <c r="E44" s="33"/>
      <c r="F44" s="34" t="s">
        <v>144</v>
      </c>
      <c r="G44" s="33"/>
      <c r="H44" s="34" t="s">
        <v>144</v>
      </c>
      <c r="I44" s="33" t="str">
        <f t="shared" si="1"/>
        <v/>
      </c>
      <c r="J44" s="33"/>
    </row>
    <row r="45" spans="1:10" ht="22.05" customHeight="1" x14ac:dyDescent="0.45">
      <c r="A45" s="35"/>
      <c r="B45" s="36"/>
      <c r="C45" s="36"/>
      <c r="D45" s="36"/>
      <c r="E45" s="36"/>
      <c r="F45" s="34" t="s">
        <v>144</v>
      </c>
      <c r="G45" s="36"/>
      <c r="H45" s="34" t="s">
        <v>144</v>
      </c>
      <c r="I45" s="36" t="str">
        <f t="shared" si="1"/>
        <v/>
      </c>
      <c r="J45" s="36"/>
    </row>
    <row r="46" spans="1:10" ht="22.05" customHeight="1" x14ac:dyDescent="0.45">
      <c r="A46" s="32"/>
      <c r="B46" s="33"/>
      <c r="C46" s="33"/>
      <c r="D46" s="33"/>
      <c r="E46" s="33"/>
      <c r="F46" s="34" t="s">
        <v>144</v>
      </c>
      <c r="G46" s="33"/>
      <c r="H46" s="34" t="s">
        <v>144</v>
      </c>
      <c r="I46" s="33" t="str">
        <f t="shared" si="1"/>
        <v/>
      </c>
      <c r="J46" s="33"/>
    </row>
    <row r="47" spans="1:10" ht="22.05" customHeight="1" x14ac:dyDescent="0.45">
      <c r="A47" s="35"/>
      <c r="B47" s="36"/>
      <c r="C47" s="36"/>
      <c r="D47" s="36"/>
      <c r="E47" s="36"/>
      <c r="F47" s="34" t="s">
        <v>144</v>
      </c>
      <c r="G47" s="36"/>
      <c r="H47" s="34" t="s">
        <v>144</v>
      </c>
      <c r="I47" s="36" t="str">
        <f t="shared" si="1"/>
        <v/>
      </c>
      <c r="J47" s="36"/>
    </row>
    <row r="48" spans="1:10" ht="22.05" customHeight="1" x14ac:dyDescent="0.45">
      <c r="A48" s="32"/>
      <c r="B48" s="33"/>
      <c r="C48" s="33"/>
      <c r="D48" s="33"/>
      <c r="E48" s="33"/>
      <c r="F48" s="34" t="s">
        <v>144</v>
      </c>
      <c r="G48" s="33"/>
      <c r="H48" s="34" t="s">
        <v>144</v>
      </c>
      <c r="I48" s="33" t="str">
        <f t="shared" si="1"/>
        <v/>
      </c>
      <c r="J48" s="33"/>
    </row>
    <row r="49" spans="1:10" ht="22.05" customHeight="1" x14ac:dyDescent="0.45">
      <c r="A49" s="35"/>
      <c r="B49" s="36"/>
      <c r="C49" s="36"/>
      <c r="D49" s="36"/>
      <c r="E49" s="36"/>
      <c r="F49" s="34" t="s">
        <v>144</v>
      </c>
      <c r="G49" s="36"/>
      <c r="H49" s="34" t="s">
        <v>144</v>
      </c>
      <c r="I49" s="36" t="str">
        <f t="shared" si="1"/>
        <v/>
      </c>
      <c r="J49" s="36"/>
    </row>
    <row r="50" spans="1:10" ht="22.05" customHeight="1" x14ac:dyDescent="0.45">
      <c r="A50" s="32"/>
      <c r="B50" s="33"/>
      <c r="C50" s="33"/>
      <c r="D50" s="33"/>
      <c r="E50" s="33"/>
      <c r="F50" s="34" t="s">
        <v>144</v>
      </c>
      <c r="G50" s="33"/>
      <c r="H50" s="34" t="s">
        <v>144</v>
      </c>
      <c r="I50" s="33" t="str">
        <f t="shared" si="1"/>
        <v/>
      </c>
      <c r="J50" s="33"/>
    </row>
    <row r="51" spans="1:10" ht="22.05" customHeight="1" x14ac:dyDescent="0.45">
      <c r="A51" s="35"/>
      <c r="B51" s="36"/>
      <c r="C51" s="36"/>
      <c r="D51" s="36"/>
      <c r="E51" s="36"/>
      <c r="F51" s="34" t="s">
        <v>144</v>
      </c>
      <c r="G51" s="36"/>
      <c r="H51" s="34" t="s">
        <v>144</v>
      </c>
      <c r="I51" s="36" t="str">
        <f t="shared" si="1"/>
        <v/>
      </c>
      <c r="J51" s="36"/>
    </row>
    <row r="52" spans="1:10" ht="22.05" customHeight="1" x14ac:dyDescent="0.45">
      <c r="A52" s="32"/>
      <c r="B52" s="33"/>
      <c r="C52" s="33"/>
      <c r="D52" s="33"/>
      <c r="E52" s="33"/>
      <c r="F52" s="34" t="s">
        <v>144</v>
      </c>
      <c r="G52" s="33"/>
      <c r="H52" s="34" t="s">
        <v>144</v>
      </c>
      <c r="I52" s="33" t="str">
        <f t="shared" si="1"/>
        <v/>
      </c>
      <c r="J52" s="33"/>
    </row>
    <row r="53" spans="1:10" ht="22.05" customHeight="1" x14ac:dyDescent="0.45">
      <c r="A53" s="35"/>
      <c r="B53" s="36"/>
      <c r="C53" s="36"/>
      <c r="D53" s="36"/>
      <c r="E53" s="36"/>
      <c r="F53" s="34" t="s">
        <v>144</v>
      </c>
      <c r="G53" s="36"/>
      <c r="H53" s="34" t="s">
        <v>144</v>
      </c>
      <c r="I53" s="36" t="str">
        <f t="shared" si="1"/>
        <v/>
      </c>
      <c r="J53" s="36"/>
    </row>
    <row r="54" spans="1:10" ht="22.05" customHeight="1" x14ac:dyDescent="0.45">
      <c r="A54" s="32"/>
      <c r="B54" s="33"/>
      <c r="C54" s="33"/>
      <c r="D54" s="33"/>
      <c r="E54" s="33"/>
      <c r="F54" s="34" t="s">
        <v>144</v>
      </c>
      <c r="G54" s="33"/>
      <c r="H54" s="34" t="s">
        <v>144</v>
      </c>
      <c r="I54" s="33" t="str">
        <f t="shared" si="1"/>
        <v/>
      </c>
      <c r="J54" s="33"/>
    </row>
    <row r="55" spans="1:10" ht="22.05" customHeight="1" x14ac:dyDescent="0.45">
      <c r="A55" s="35"/>
      <c r="B55" s="36"/>
      <c r="C55" s="36"/>
      <c r="D55" s="36"/>
      <c r="E55" s="36"/>
      <c r="F55" s="34" t="s">
        <v>144</v>
      </c>
      <c r="G55" s="36"/>
      <c r="H55" s="34" t="s">
        <v>144</v>
      </c>
      <c r="I55" s="36" t="str">
        <f t="shared" si="1"/>
        <v/>
      </c>
      <c r="J55" s="36"/>
    </row>
    <row r="56" spans="1:10" ht="22.05" customHeight="1" x14ac:dyDescent="0.45">
      <c r="A56" s="32"/>
      <c r="B56" s="33"/>
      <c r="C56" s="33"/>
      <c r="D56" s="33"/>
      <c r="E56" s="33"/>
      <c r="F56" s="34" t="s">
        <v>144</v>
      </c>
      <c r="G56" s="33"/>
      <c r="H56" s="34" t="s">
        <v>144</v>
      </c>
      <c r="I56" s="33" t="str">
        <f t="shared" si="1"/>
        <v/>
      </c>
      <c r="J56" s="33"/>
    </row>
    <row r="57" spans="1:10" ht="22.05" customHeight="1" x14ac:dyDescent="0.45">
      <c r="A57" s="35"/>
      <c r="B57" s="36"/>
      <c r="C57" s="36"/>
      <c r="D57" s="36"/>
      <c r="E57" s="36"/>
      <c r="F57" s="34" t="s">
        <v>144</v>
      </c>
      <c r="G57" s="36"/>
      <c r="H57" s="34" t="s">
        <v>144</v>
      </c>
      <c r="I57" s="36" t="str">
        <f t="shared" si="1"/>
        <v/>
      </c>
      <c r="J57" s="36"/>
    </row>
    <row r="58" spans="1:10" ht="22.05" customHeight="1" x14ac:dyDescent="0.45">
      <c r="A58" s="32"/>
      <c r="B58" s="33"/>
      <c r="C58" s="33"/>
      <c r="D58" s="33"/>
      <c r="E58" s="33"/>
      <c r="F58" s="34" t="s">
        <v>144</v>
      </c>
      <c r="G58" s="33"/>
      <c r="H58" s="34" t="s">
        <v>144</v>
      </c>
      <c r="I58" s="33" t="str">
        <f t="shared" si="1"/>
        <v/>
      </c>
      <c r="J58" s="33"/>
    </row>
    <row r="59" spans="1:10" ht="22.05" customHeight="1" x14ac:dyDescent="0.45">
      <c r="A59" s="35"/>
      <c r="B59" s="36"/>
      <c r="C59" s="36"/>
      <c r="D59" s="36"/>
      <c r="E59" s="36"/>
      <c r="F59" s="34" t="s">
        <v>144</v>
      </c>
      <c r="G59" s="36"/>
      <c r="H59" s="34" t="s">
        <v>144</v>
      </c>
      <c r="I59" s="36" t="str">
        <f t="shared" si="1"/>
        <v/>
      </c>
      <c r="J59" s="36"/>
    </row>
    <row r="60" spans="1:10" ht="22.05" customHeight="1" x14ac:dyDescent="0.45">
      <c r="A60" s="32"/>
      <c r="B60" s="33"/>
      <c r="C60" s="33"/>
      <c r="D60" s="33"/>
      <c r="E60" s="33"/>
      <c r="F60" s="34" t="s">
        <v>144</v>
      </c>
      <c r="G60" s="33"/>
      <c r="H60" s="34" t="s">
        <v>144</v>
      </c>
      <c r="I60" s="33" t="str">
        <f t="shared" si="1"/>
        <v/>
      </c>
      <c r="J60" s="33"/>
    </row>
    <row r="61" spans="1:10" ht="22.05" customHeight="1" x14ac:dyDescent="0.45">
      <c r="A61" s="35"/>
      <c r="B61" s="36"/>
      <c r="C61" s="36"/>
      <c r="D61" s="36"/>
      <c r="E61" s="36"/>
      <c r="F61" s="34" t="s">
        <v>144</v>
      </c>
      <c r="G61" s="36"/>
      <c r="H61" s="34" t="s">
        <v>144</v>
      </c>
      <c r="I61" s="36" t="str">
        <f t="shared" si="1"/>
        <v/>
      </c>
      <c r="J61" s="36"/>
    </row>
    <row r="62" spans="1:10" ht="22.05" customHeight="1" x14ac:dyDescent="0.45">
      <c r="A62" s="32"/>
      <c r="B62" s="33"/>
      <c r="C62" s="33"/>
      <c r="D62" s="33"/>
      <c r="E62" s="33"/>
      <c r="F62" s="34" t="s">
        <v>144</v>
      </c>
      <c r="G62" s="33"/>
      <c r="H62" s="34" t="s">
        <v>144</v>
      </c>
      <c r="I62" s="33" t="str">
        <f t="shared" si="1"/>
        <v/>
      </c>
      <c r="J62" s="33"/>
    </row>
    <row r="63" spans="1:10" ht="22.05" customHeight="1" x14ac:dyDescent="0.45">
      <c r="A63" s="35"/>
      <c r="B63" s="36"/>
      <c r="C63" s="36"/>
      <c r="D63" s="36"/>
      <c r="E63" s="36"/>
      <c r="F63" s="34" t="s">
        <v>144</v>
      </c>
      <c r="G63" s="36"/>
      <c r="H63" s="34" t="s">
        <v>144</v>
      </c>
      <c r="I63" s="36" t="str">
        <f t="shared" si="1"/>
        <v/>
      </c>
      <c r="J63" s="36"/>
    </row>
    <row r="64" spans="1:10" ht="22.05" customHeight="1" x14ac:dyDescent="0.45">
      <c r="A64" s="32"/>
      <c r="B64" s="33"/>
      <c r="C64" s="33"/>
      <c r="D64" s="33"/>
      <c r="E64" s="33"/>
      <c r="F64" s="34" t="s">
        <v>144</v>
      </c>
      <c r="G64" s="33"/>
      <c r="H64" s="34" t="s">
        <v>144</v>
      </c>
      <c r="I64" s="33" t="str">
        <f t="shared" si="1"/>
        <v/>
      </c>
      <c r="J64" s="33"/>
    </row>
    <row r="65" spans="1:10" ht="22.05" customHeight="1" x14ac:dyDescent="0.45">
      <c r="A65" s="35"/>
      <c r="B65" s="36"/>
      <c r="C65" s="36"/>
      <c r="D65" s="36"/>
      <c r="E65" s="36"/>
      <c r="F65" s="34" t="s">
        <v>144</v>
      </c>
      <c r="G65" s="36"/>
      <c r="H65" s="34" t="s">
        <v>144</v>
      </c>
      <c r="I65" s="36" t="str">
        <f t="shared" si="1"/>
        <v/>
      </c>
      <c r="J65" s="36"/>
    </row>
    <row r="66" spans="1:10" ht="22.05" customHeight="1" x14ac:dyDescent="0.45">
      <c r="A66" s="32"/>
      <c r="B66" s="33"/>
      <c r="C66" s="33"/>
      <c r="D66" s="33"/>
      <c r="E66" s="33"/>
      <c r="F66" s="34" t="s">
        <v>144</v>
      </c>
      <c r="G66" s="33"/>
      <c r="H66" s="34" t="s">
        <v>144</v>
      </c>
      <c r="I66" s="33" t="str">
        <f t="shared" si="1"/>
        <v/>
      </c>
      <c r="J66" s="33"/>
    </row>
    <row r="67" spans="1:10" ht="22.05" customHeight="1" x14ac:dyDescent="0.45">
      <c r="A67" s="35"/>
      <c r="B67" s="36"/>
      <c r="C67" s="36"/>
      <c r="D67" s="36"/>
      <c r="E67" s="36"/>
      <c r="F67" s="34" t="s">
        <v>144</v>
      </c>
      <c r="G67" s="36"/>
      <c r="H67" s="34" t="s">
        <v>144</v>
      </c>
      <c r="I67" s="36" t="str">
        <f t="shared" si="1"/>
        <v/>
      </c>
      <c r="J67" s="36"/>
    </row>
    <row r="68" spans="1:10" ht="22.05" customHeight="1" x14ac:dyDescent="0.45">
      <c r="A68" s="32"/>
      <c r="B68" s="33"/>
      <c r="C68" s="33"/>
      <c r="D68" s="33"/>
      <c r="E68" s="33"/>
      <c r="F68" s="34" t="s">
        <v>144</v>
      </c>
      <c r="G68" s="33"/>
      <c r="H68" s="34" t="s">
        <v>144</v>
      </c>
      <c r="I68" s="33" t="str">
        <f t="shared" ref="I68:I99" si="2">IF(COUNTA(E68,G68)=0,"",IF(AND(OR(F68="Paid",F68="Not Applicable"),OR(H68="Paid",H68="Not Applicable")),"Both Paid",IF(AND(F68="Pending",H68="Pending"),"Both Pending","Partially Paid")))</f>
        <v/>
      </c>
      <c r="J68" s="33"/>
    </row>
    <row r="69" spans="1:10" ht="22.05" customHeight="1" x14ac:dyDescent="0.45">
      <c r="A69" s="35"/>
      <c r="B69" s="36"/>
      <c r="C69" s="36"/>
      <c r="D69" s="36"/>
      <c r="E69" s="36"/>
      <c r="F69" s="34" t="s">
        <v>144</v>
      </c>
      <c r="G69" s="36"/>
      <c r="H69" s="34" t="s">
        <v>144</v>
      </c>
      <c r="I69" s="36" t="str">
        <f t="shared" si="2"/>
        <v/>
      </c>
      <c r="J69" s="36"/>
    </row>
    <row r="70" spans="1:10" ht="22.05" customHeight="1" x14ac:dyDescent="0.45">
      <c r="A70" s="32"/>
      <c r="B70" s="33"/>
      <c r="C70" s="33"/>
      <c r="D70" s="33"/>
      <c r="E70" s="33"/>
      <c r="F70" s="34" t="s">
        <v>144</v>
      </c>
      <c r="G70" s="33"/>
      <c r="H70" s="34" t="s">
        <v>144</v>
      </c>
      <c r="I70" s="33" t="str">
        <f t="shared" si="2"/>
        <v/>
      </c>
      <c r="J70" s="33"/>
    </row>
    <row r="71" spans="1:10" ht="22.05" customHeight="1" x14ac:dyDescent="0.45">
      <c r="A71" s="35"/>
      <c r="B71" s="36"/>
      <c r="C71" s="36"/>
      <c r="D71" s="36"/>
      <c r="E71" s="36"/>
      <c r="F71" s="34" t="s">
        <v>144</v>
      </c>
      <c r="G71" s="36"/>
      <c r="H71" s="34" t="s">
        <v>144</v>
      </c>
      <c r="I71" s="36" t="str">
        <f t="shared" si="2"/>
        <v/>
      </c>
      <c r="J71" s="36"/>
    </row>
    <row r="72" spans="1:10" ht="22.05" customHeight="1" x14ac:dyDescent="0.45">
      <c r="A72" s="32"/>
      <c r="B72" s="33"/>
      <c r="C72" s="33"/>
      <c r="D72" s="33"/>
      <c r="E72" s="33"/>
      <c r="F72" s="34" t="s">
        <v>144</v>
      </c>
      <c r="G72" s="33"/>
      <c r="H72" s="34" t="s">
        <v>144</v>
      </c>
      <c r="I72" s="33" t="str">
        <f t="shared" si="2"/>
        <v/>
      </c>
      <c r="J72" s="33"/>
    </row>
    <row r="73" spans="1:10" ht="22.05" customHeight="1" x14ac:dyDescent="0.45">
      <c r="A73" s="35"/>
      <c r="B73" s="36"/>
      <c r="C73" s="36"/>
      <c r="D73" s="36"/>
      <c r="E73" s="36"/>
      <c r="F73" s="34" t="s">
        <v>144</v>
      </c>
      <c r="G73" s="36"/>
      <c r="H73" s="34" t="s">
        <v>144</v>
      </c>
      <c r="I73" s="36" t="str">
        <f t="shared" si="2"/>
        <v/>
      </c>
      <c r="J73" s="36"/>
    </row>
    <row r="74" spans="1:10" ht="22.05" customHeight="1" x14ac:dyDescent="0.45">
      <c r="A74" s="32"/>
      <c r="B74" s="33"/>
      <c r="C74" s="33"/>
      <c r="D74" s="33"/>
      <c r="E74" s="33"/>
      <c r="F74" s="34" t="s">
        <v>144</v>
      </c>
      <c r="G74" s="33"/>
      <c r="H74" s="34" t="s">
        <v>144</v>
      </c>
      <c r="I74" s="33" t="str">
        <f t="shared" si="2"/>
        <v/>
      </c>
      <c r="J74" s="33"/>
    </row>
    <row r="75" spans="1:10" ht="22.05" customHeight="1" x14ac:dyDescent="0.45">
      <c r="A75" s="35"/>
      <c r="B75" s="36"/>
      <c r="C75" s="36"/>
      <c r="D75" s="36"/>
      <c r="E75" s="36"/>
      <c r="F75" s="34" t="s">
        <v>144</v>
      </c>
      <c r="G75" s="36"/>
      <c r="H75" s="34" t="s">
        <v>144</v>
      </c>
      <c r="I75" s="36" t="str">
        <f t="shared" si="2"/>
        <v/>
      </c>
      <c r="J75" s="36"/>
    </row>
    <row r="76" spans="1:10" ht="22.05" customHeight="1" x14ac:dyDescent="0.45">
      <c r="A76" s="32"/>
      <c r="B76" s="33"/>
      <c r="C76" s="33"/>
      <c r="D76" s="33"/>
      <c r="E76" s="33"/>
      <c r="F76" s="34" t="s">
        <v>144</v>
      </c>
      <c r="G76" s="33"/>
      <c r="H76" s="34" t="s">
        <v>144</v>
      </c>
      <c r="I76" s="33" t="str">
        <f t="shared" si="2"/>
        <v/>
      </c>
      <c r="J76" s="33"/>
    </row>
    <row r="77" spans="1:10" ht="22.05" customHeight="1" x14ac:dyDescent="0.45">
      <c r="A77" s="35"/>
      <c r="B77" s="36"/>
      <c r="C77" s="36"/>
      <c r="D77" s="36"/>
      <c r="E77" s="36"/>
      <c r="F77" s="34" t="s">
        <v>144</v>
      </c>
      <c r="G77" s="36"/>
      <c r="H77" s="34" t="s">
        <v>144</v>
      </c>
      <c r="I77" s="36" t="str">
        <f t="shared" si="2"/>
        <v/>
      </c>
      <c r="J77" s="36"/>
    </row>
    <row r="78" spans="1:10" ht="22.05" customHeight="1" x14ac:dyDescent="0.45">
      <c r="A78" s="32"/>
      <c r="B78" s="33"/>
      <c r="C78" s="33"/>
      <c r="D78" s="33"/>
      <c r="E78" s="33"/>
      <c r="F78" s="34" t="s">
        <v>144</v>
      </c>
      <c r="G78" s="33"/>
      <c r="H78" s="34" t="s">
        <v>144</v>
      </c>
      <c r="I78" s="33" t="str">
        <f t="shared" si="2"/>
        <v/>
      </c>
      <c r="J78" s="33"/>
    </row>
    <row r="79" spans="1:10" ht="22.05" customHeight="1" x14ac:dyDescent="0.45">
      <c r="A79" s="35"/>
      <c r="B79" s="36"/>
      <c r="C79" s="36"/>
      <c r="D79" s="36"/>
      <c r="E79" s="36"/>
      <c r="F79" s="34" t="s">
        <v>144</v>
      </c>
      <c r="G79" s="36"/>
      <c r="H79" s="34" t="s">
        <v>144</v>
      </c>
      <c r="I79" s="36" t="str">
        <f t="shared" si="2"/>
        <v/>
      </c>
      <c r="J79" s="36"/>
    </row>
    <row r="80" spans="1:10" ht="22.05" customHeight="1" x14ac:dyDescent="0.45">
      <c r="A80" s="32"/>
      <c r="B80" s="33"/>
      <c r="C80" s="33"/>
      <c r="D80" s="33"/>
      <c r="E80" s="33"/>
      <c r="F80" s="34" t="s">
        <v>144</v>
      </c>
      <c r="G80" s="33"/>
      <c r="H80" s="34" t="s">
        <v>144</v>
      </c>
      <c r="I80" s="33" t="str">
        <f t="shared" si="2"/>
        <v/>
      </c>
      <c r="J80" s="33"/>
    </row>
    <row r="81" spans="1:10" ht="22.05" customHeight="1" x14ac:dyDescent="0.45">
      <c r="A81" s="35"/>
      <c r="B81" s="36"/>
      <c r="C81" s="36"/>
      <c r="D81" s="36"/>
      <c r="E81" s="36"/>
      <c r="F81" s="34" t="s">
        <v>144</v>
      </c>
      <c r="G81" s="36"/>
      <c r="H81" s="34" t="s">
        <v>144</v>
      </c>
      <c r="I81" s="36" t="str">
        <f t="shared" si="2"/>
        <v/>
      </c>
      <c r="J81" s="36"/>
    </row>
    <row r="82" spans="1:10" ht="22.05" customHeight="1" x14ac:dyDescent="0.45">
      <c r="A82" s="32"/>
      <c r="B82" s="33"/>
      <c r="C82" s="33"/>
      <c r="D82" s="33"/>
      <c r="E82" s="33"/>
      <c r="F82" s="34" t="s">
        <v>144</v>
      </c>
      <c r="G82" s="33"/>
      <c r="H82" s="34" t="s">
        <v>144</v>
      </c>
      <c r="I82" s="33" t="str">
        <f t="shared" si="2"/>
        <v/>
      </c>
      <c r="J82" s="33"/>
    </row>
    <row r="83" spans="1:10" ht="22.05" customHeight="1" x14ac:dyDescent="0.45">
      <c r="A83" s="35"/>
      <c r="B83" s="36"/>
      <c r="C83" s="36"/>
      <c r="D83" s="36"/>
      <c r="E83" s="36"/>
      <c r="F83" s="34" t="s">
        <v>144</v>
      </c>
      <c r="G83" s="36"/>
      <c r="H83" s="34" t="s">
        <v>144</v>
      </c>
      <c r="I83" s="36" t="str">
        <f t="shared" si="2"/>
        <v/>
      </c>
      <c r="J83" s="36"/>
    </row>
    <row r="84" spans="1:10" ht="22.05" customHeight="1" x14ac:dyDescent="0.45">
      <c r="A84" s="32"/>
      <c r="B84" s="33"/>
      <c r="C84" s="33"/>
      <c r="D84" s="33"/>
      <c r="E84" s="33"/>
      <c r="F84" s="34" t="s">
        <v>144</v>
      </c>
      <c r="G84" s="33"/>
      <c r="H84" s="34" t="s">
        <v>144</v>
      </c>
      <c r="I84" s="33" t="str">
        <f t="shared" si="2"/>
        <v/>
      </c>
      <c r="J84" s="33"/>
    </row>
    <row r="85" spans="1:10" ht="22.05" customHeight="1" x14ac:dyDescent="0.45">
      <c r="A85" s="35"/>
      <c r="B85" s="36"/>
      <c r="C85" s="36"/>
      <c r="D85" s="36"/>
      <c r="E85" s="36"/>
      <c r="F85" s="34" t="s">
        <v>144</v>
      </c>
      <c r="G85" s="36"/>
      <c r="H85" s="34" t="s">
        <v>144</v>
      </c>
      <c r="I85" s="36" t="str">
        <f t="shared" si="2"/>
        <v/>
      </c>
      <c r="J85" s="36"/>
    </row>
    <row r="86" spans="1:10" ht="22.05" customHeight="1" x14ac:dyDescent="0.45">
      <c r="A86" s="32"/>
      <c r="B86" s="33"/>
      <c r="C86" s="33"/>
      <c r="D86" s="33"/>
      <c r="E86" s="33"/>
      <c r="F86" s="34" t="s">
        <v>144</v>
      </c>
      <c r="G86" s="33"/>
      <c r="H86" s="34" t="s">
        <v>144</v>
      </c>
      <c r="I86" s="33" t="str">
        <f t="shared" si="2"/>
        <v/>
      </c>
      <c r="J86" s="33"/>
    </row>
    <row r="87" spans="1:10" ht="22.05" customHeight="1" x14ac:dyDescent="0.45">
      <c r="A87" s="35"/>
      <c r="B87" s="36"/>
      <c r="C87" s="36"/>
      <c r="D87" s="36"/>
      <c r="E87" s="36"/>
      <c r="F87" s="34" t="s">
        <v>144</v>
      </c>
      <c r="G87" s="36"/>
      <c r="H87" s="34" t="s">
        <v>144</v>
      </c>
      <c r="I87" s="36" t="str">
        <f t="shared" si="2"/>
        <v/>
      </c>
      <c r="J87" s="36"/>
    </row>
    <row r="88" spans="1:10" ht="22.05" customHeight="1" x14ac:dyDescent="0.45">
      <c r="A88" s="32"/>
      <c r="B88" s="33"/>
      <c r="C88" s="33"/>
      <c r="D88" s="33"/>
      <c r="E88" s="33"/>
      <c r="F88" s="34" t="s">
        <v>144</v>
      </c>
      <c r="G88" s="33"/>
      <c r="H88" s="34" t="s">
        <v>144</v>
      </c>
      <c r="I88" s="33" t="str">
        <f t="shared" si="2"/>
        <v/>
      </c>
      <c r="J88" s="33"/>
    </row>
    <row r="89" spans="1:10" ht="22.05" customHeight="1" x14ac:dyDescent="0.45">
      <c r="A89" s="35"/>
      <c r="B89" s="36"/>
      <c r="C89" s="36"/>
      <c r="D89" s="36"/>
      <c r="E89" s="36"/>
      <c r="F89" s="34" t="s">
        <v>144</v>
      </c>
      <c r="G89" s="36"/>
      <c r="H89" s="34" t="s">
        <v>144</v>
      </c>
      <c r="I89" s="36" t="str">
        <f t="shared" si="2"/>
        <v/>
      </c>
      <c r="J89" s="36"/>
    </row>
    <row r="90" spans="1:10" ht="22.05" customHeight="1" x14ac:dyDescent="0.45">
      <c r="A90" s="32"/>
      <c r="B90" s="33"/>
      <c r="C90" s="33"/>
      <c r="D90" s="33"/>
      <c r="E90" s="33"/>
      <c r="F90" s="34" t="s">
        <v>144</v>
      </c>
      <c r="G90" s="33"/>
      <c r="H90" s="34" t="s">
        <v>144</v>
      </c>
      <c r="I90" s="33" t="str">
        <f t="shared" si="2"/>
        <v/>
      </c>
      <c r="J90" s="33"/>
    </row>
    <row r="91" spans="1:10" ht="22.05" customHeight="1" x14ac:dyDescent="0.45">
      <c r="A91" s="35"/>
      <c r="B91" s="36"/>
      <c r="C91" s="36"/>
      <c r="D91" s="36"/>
      <c r="E91" s="36"/>
      <c r="F91" s="34" t="s">
        <v>144</v>
      </c>
      <c r="G91" s="36"/>
      <c r="H91" s="34" t="s">
        <v>144</v>
      </c>
      <c r="I91" s="36" t="str">
        <f t="shared" si="2"/>
        <v/>
      </c>
      <c r="J91" s="36"/>
    </row>
    <row r="92" spans="1:10" ht="22.05" customHeight="1" x14ac:dyDescent="0.45">
      <c r="A92" s="32"/>
      <c r="B92" s="33"/>
      <c r="C92" s="33"/>
      <c r="D92" s="33"/>
      <c r="E92" s="33"/>
      <c r="F92" s="34" t="s">
        <v>144</v>
      </c>
      <c r="G92" s="33"/>
      <c r="H92" s="34" t="s">
        <v>144</v>
      </c>
      <c r="I92" s="33" t="str">
        <f t="shared" si="2"/>
        <v/>
      </c>
      <c r="J92" s="33"/>
    </row>
    <row r="93" spans="1:10" ht="22.05" customHeight="1" x14ac:dyDescent="0.45">
      <c r="A93" s="35"/>
      <c r="B93" s="36"/>
      <c r="C93" s="36"/>
      <c r="D93" s="36"/>
      <c r="E93" s="36"/>
      <c r="F93" s="34" t="s">
        <v>144</v>
      </c>
      <c r="G93" s="36"/>
      <c r="H93" s="34" t="s">
        <v>144</v>
      </c>
      <c r="I93" s="36" t="str">
        <f t="shared" si="2"/>
        <v/>
      </c>
      <c r="J93" s="36"/>
    </row>
    <row r="94" spans="1:10" ht="22.05" customHeight="1" x14ac:dyDescent="0.45">
      <c r="A94" s="32"/>
      <c r="B94" s="33"/>
      <c r="C94" s="33"/>
      <c r="D94" s="33"/>
      <c r="E94" s="33"/>
      <c r="F94" s="34" t="s">
        <v>144</v>
      </c>
      <c r="G94" s="33"/>
      <c r="H94" s="34" t="s">
        <v>144</v>
      </c>
      <c r="I94" s="33" t="str">
        <f t="shared" si="2"/>
        <v/>
      </c>
      <c r="J94" s="33"/>
    </row>
    <row r="95" spans="1:10" ht="22.05" customHeight="1" x14ac:dyDescent="0.45">
      <c r="A95" s="35"/>
      <c r="B95" s="36"/>
      <c r="C95" s="36"/>
      <c r="D95" s="36"/>
      <c r="E95" s="36"/>
      <c r="F95" s="34" t="s">
        <v>144</v>
      </c>
      <c r="G95" s="36"/>
      <c r="H95" s="34" t="s">
        <v>144</v>
      </c>
      <c r="I95" s="36" t="str">
        <f t="shared" si="2"/>
        <v/>
      </c>
      <c r="J95" s="36"/>
    </row>
    <row r="96" spans="1:10" ht="22.05" customHeight="1" x14ac:dyDescent="0.45">
      <c r="A96" s="32"/>
      <c r="B96" s="33"/>
      <c r="C96" s="33"/>
      <c r="D96" s="33"/>
      <c r="E96" s="33"/>
      <c r="F96" s="34" t="s">
        <v>144</v>
      </c>
      <c r="G96" s="33"/>
      <c r="H96" s="34" t="s">
        <v>144</v>
      </c>
      <c r="I96" s="33" t="str">
        <f t="shared" si="2"/>
        <v/>
      </c>
      <c r="J96" s="33"/>
    </row>
    <row r="97" spans="1:10" ht="22.05" customHeight="1" x14ac:dyDescent="0.45">
      <c r="A97" s="35"/>
      <c r="B97" s="36"/>
      <c r="C97" s="36"/>
      <c r="D97" s="36"/>
      <c r="E97" s="36"/>
      <c r="F97" s="34" t="s">
        <v>144</v>
      </c>
      <c r="G97" s="36"/>
      <c r="H97" s="34" t="s">
        <v>144</v>
      </c>
      <c r="I97" s="36" t="str">
        <f t="shared" si="2"/>
        <v/>
      </c>
      <c r="J97" s="36"/>
    </row>
    <row r="98" spans="1:10" ht="22.05" customHeight="1" x14ac:dyDescent="0.45">
      <c r="A98" s="32"/>
      <c r="B98" s="33"/>
      <c r="C98" s="33"/>
      <c r="D98" s="33"/>
      <c r="E98" s="33"/>
      <c r="F98" s="34" t="s">
        <v>144</v>
      </c>
      <c r="G98" s="33"/>
      <c r="H98" s="34" t="s">
        <v>144</v>
      </c>
      <c r="I98" s="33" t="str">
        <f t="shared" si="2"/>
        <v/>
      </c>
      <c r="J98" s="33"/>
    </row>
    <row r="99" spans="1:10" ht="22.05" customHeight="1" x14ac:dyDescent="0.45">
      <c r="A99" s="35"/>
      <c r="B99" s="36"/>
      <c r="C99" s="36"/>
      <c r="D99" s="36"/>
      <c r="E99" s="36"/>
      <c r="F99" s="34" t="s">
        <v>144</v>
      </c>
      <c r="G99" s="36"/>
      <c r="H99" s="34" t="s">
        <v>144</v>
      </c>
      <c r="I99" s="36" t="str">
        <f t="shared" si="2"/>
        <v/>
      </c>
      <c r="J99" s="36"/>
    </row>
    <row r="100" spans="1:10" ht="22.05" customHeight="1" x14ac:dyDescent="0.45">
      <c r="A100" s="32"/>
      <c r="B100" s="33"/>
      <c r="C100" s="33"/>
      <c r="D100" s="33"/>
      <c r="E100" s="33"/>
      <c r="F100" s="34" t="s">
        <v>144</v>
      </c>
      <c r="G100" s="33"/>
      <c r="H100" s="34" t="s">
        <v>144</v>
      </c>
      <c r="I100" s="33" t="str">
        <f t="shared" ref="I100:I131" si="3">IF(COUNTA(E100,G100)=0,"",IF(AND(OR(F100="Paid",F100="Not Applicable"),OR(H100="Paid",H100="Not Applicable")),"Both Paid",IF(AND(F100="Pending",H100="Pending"),"Both Pending","Partially Paid")))</f>
        <v/>
      </c>
      <c r="J100" s="33"/>
    </row>
    <row r="101" spans="1:10" ht="22.05" customHeight="1" x14ac:dyDescent="0.45">
      <c r="A101" s="35"/>
      <c r="B101" s="36"/>
      <c r="C101" s="36"/>
      <c r="D101" s="36"/>
      <c r="E101" s="36"/>
      <c r="F101" s="34" t="s">
        <v>144</v>
      </c>
      <c r="G101" s="36"/>
      <c r="H101" s="34" t="s">
        <v>144</v>
      </c>
      <c r="I101" s="36" t="str">
        <f t="shared" si="3"/>
        <v/>
      </c>
      <c r="J101" s="36"/>
    </row>
    <row r="102" spans="1:10" ht="22.05" customHeight="1" x14ac:dyDescent="0.45">
      <c r="A102" s="32"/>
      <c r="B102" s="33"/>
      <c r="C102" s="33"/>
      <c r="D102" s="33"/>
      <c r="E102" s="33"/>
      <c r="F102" s="34" t="s">
        <v>144</v>
      </c>
      <c r="G102" s="33"/>
      <c r="H102" s="34" t="s">
        <v>144</v>
      </c>
      <c r="I102" s="33" t="str">
        <f t="shared" si="3"/>
        <v/>
      </c>
      <c r="J102" s="33"/>
    </row>
    <row r="103" spans="1:10" ht="22.05" customHeight="1" x14ac:dyDescent="0.45">
      <c r="A103" s="35"/>
      <c r="B103" s="36"/>
      <c r="C103" s="36"/>
      <c r="D103" s="36"/>
      <c r="E103" s="36"/>
      <c r="F103" s="34" t="s">
        <v>144</v>
      </c>
      <c r="G103" s="36"/>
      <c r="H103" s="34" t="s">
        <v>144</v>
      </c>
      <c r="I103" s="36" t="str">
        <f t="shared" si="3"/>
        <v/>
      </c>
      <c r="J103" s="36"/>
    </row>
    <row r="104" spans="1:10" ht="22.05" customHeight="1" x14ac:dyDescent="0.45">
      <c r="A104" s="32"/>
      <c r="B104" s="33"/>
      <c r="C104" s="33"/>
      <c r="D104" s="33"/>
      <c r="E104" s="33"/>
      <c r="F104" s="34" t="s">
        <v>144</v>
      </c>
      <c r="G104" s="33"/>
      <c r="H104" s="34" t="s">
        <v>144</v>
      </c>
      <c r="I104" s="33" t="str">
        <f t="shared" si="3"/>
        <v/>
      </c>
      <c r="J104" s="33"/>
    </row>
    <row r="105" spans="1:10" ht="22.05" customHeight="1" x14ac:dyDescent="0.45">
      <c r="A105" s="35"/>
      <c r="B105" s="36"/>
      <c r="C105" s="36"/>
      <c r="D105" s="36"/>
      <c r="E105" s="36"/>
      <c r="F105" s="34" t="s">
        <v>144</v>
      </c>
      <c r="G105" s="36"/>
      <c r="H105" s="34" t="s">
        <v>144</v>
      </c>
      <c r="I105" s="36" t="str">
        <f t="shared" si="3"/>
        <v/>
      </c>
      <c r="J105" s="36"/>
    </row>
    <row r="106" spans="1:10" ht="22.05" customHeight="1" x14ac:dyDescent="0.45">
      <c r="A106" s="32"/>
      <c r="B106" s="33"/>
      <c r="C106" s="33"/>
      <c r="D106" s="33"/>
      <c r="E106" s="33"/>
      <c r="F106" s="34" t="s">
        <v>144</v>
      </c>
      <c r="G106" s="33"/>
      <c r="H106" s="34" t="s">
        <v>144</v>
      </c>
      <c r="I106" s="33" t="str">
        <f t="shared" si="3"/>
        <v/>
      </c>
      <c r="J106" s="33"/>
    </row>
    <row r="107" spans="1:10" ht="22.05" customHeight="1" x14ac:dyDescent="0.45">
      <c r="A107" s="35"/>
      <c r="B107" s="36"/>
      <c r="C107" s="36"/>
      <c r="D107" s="36"/>
      <c r="E107" s="36"/>
      <c r="F107" s="34" t="s">
        <v>144</v>
      </c>
      <c r="G107" s="36"/>
      <c r="H107" s="34" t="s">
        <v>144</v>
      </c>
      <c r="I107" s="36" t="str">
        <f t="shared" si="3"/>
        <v/>
      </c>
      <c r="J107" s="36"/>
    </row>
    <row r="108" spans="1:10" ht="22.05" customHeight="1" x14ac:dyDescent="0.45">
      <c r="A108" s="32"/>
      <c r="B108" s="33"/>
      <c r="C108" s="33"/>
      <c r="D108" s="33"/>
      <c r="E108" s="33"/>
      <c r="F108" s="34" t="s">
        <v>144</v>
      </c>
      <c r="G108" s="33"/>
      <c r="H108" s="34" t="s">
        <v>144</v>
      </c>
      <c r="I108" s="33" t="str">
        <f t="shared" si="3"/>
        <v/>
      </c>
      <c r="J108" s="33"/>
    </row>
    <row r="109" spans="1:10" ht="22.05" customHeight="1" x14ac:dyDescent="0.45">
      <c r="A109" s="35"/>
      <c r="B109" s="36"/>
      <c r="C109" s="36"/>
      <c r="D109" s="36"/>
      <c r="E109" s="36"/>
      <c r="F109" s="34" t="s">
        <v>144</v>
      </c>
      <c r="G109" s="36"/>
      <c r="H109" s="34" t="s">
        <v>144</v>
      </c>
      <c r="I109" s="36" t="str">
        <f t="shared" si="3"/>
        <v/>
      </c>
      <c r="J109" s="36"/>
    </row>
    <row r="110" spans="1:10" ht="22.05" customHeight="1" x14ac:dyDescent="0.45">
      <c r="A110" s="32"/>
      <c r="B110" s="33"/>
      <c r="C110" s="33"/>
      <c r="D110" s="33"/>
      <c r="E110" s="33"/>
      <c r="F110" s="34" t="s">
        <v>144</v>
      </c>
      <c r="G110" s="33"/>
      <c r="H110" s="34" t="s">
        <v>144</v>
      </c>
      <c r="I110" s="33" t="str">
        <f t="shared" si="3"/>
        <v/>
      </c>
      <c r="J110" s="33"/>
    </row>
    <row r="111" spans="1:10" ht="22.05" customHeight="1" x14ac:dyDescent="0.45">
      <c r="A111" s="35"/>
      <c r="B111" s="36"/>
      <c r="C111" s="36"/>
      <c r="D111" s="36"/>
      <c r="E111" s="36"/>
      <c r="F111" s="34" t="s">
        <v>144</v>
      </c>
      <c r="G111" s="36"/>
      <c r="H111" s="34" t="s">
        <v>144</v>
      </c>
      <c r="I111" s="36" t="str">
        <f t="shared" si="3"/>
        <v/>
      </c>
      <c r="J111" s="36"/>
    </row>
    <row r="112" spans="1:10" ht="22.05" customHeight="1" x14ac:dyDescent="0.45">
      <c r="A112" s="32"/>
      <c r="B112" s="33"/>
      <c r="C112" s="33"/>
      <c r="D112" s="33"/>
      <c r="E112" s="33"/>
      <c r="F112" s="34" t="s">
        <v>144</v>
      </c>
      <c r="G112" s="33"/>
      <c r="H112" s="34" t="s">
        <v>144</v>
      </c>
      <c r="I112" s="33" t="str">
        <f t="shared" si="3"/>
        <v/>
      </c>
      <c r="J112" s="33"/>
    </row>
    <row r="113" spans="1:10" ht="22.05" customHeight="1" x14ac:dyDescent="0.45">
      <c r="A113" s="35"/>
      <c r="B113" s="36"/>
      <c r="C113" s="36"/>
      <c r="D113" s="36"/>
      <c r="E113" s="36"/>
      <c r="F113" s="34" t="s">
        <v>144</v>
      </c>
      <c r="G113" s="36"/>
      <c r="H113" s="34" t="s">
        <v>144</v>
      </c>
      <c r="I113" s="36" t="str">
        <f t="shared" si="3"/>
        <v/>
      </c>
      <c r="J113" s="36"/>
    </row>
    <row r="114" spans="1:10" ht="22.05" customHeight="1" x14ac:dyDescent="0.45">
      <c r="A114" s="32"/>
      <c r="B114" s="33"/>
      <c r="C114" s="33"/>
      <c r="D114" s="33"/>
      <c r="E114" s="33"/>
      <c r="F114" s="34" t="s">
        <v>144</v>
      </c>
      <c r="G114" s="33"/>
      <c r="H114" s="34" t="s">
        <v>144</v>
      </c>
      <c r="I114" s="33" t="str">
        <f t="shared" si="3"/>
        <v/>
      </c>
      <c r="J114" s="33"/>
    </row>
    <row r="115" spans="1:10" ht="22.05" customHeight="1" x14ac:dyDescent="0.45">
      <c r="A115" s="35"/>
      <c r="B115" s="36"/>
      <c r="C115" s="36"/>
      <c r="D115" s="36"/>
      <c r="E115" s="36"/>
      <c r="F115" s="34" t="s">
        <v>144</v>
      </c>
      <c r="G115" s="36"/>
      <c r="H115" s="34" t="s">
        <v>144</v>
      </c>
      <c r="I115" s="36" t="str">
        <f t="shared" si="3"/>
        <v/>
      </c>
      <c r="J115" s="36"/>
    </row>
    <row r="116" spans="1:10" ht="22.05" customHeight="1" x14ac:dyDescent="0.45">
      <c r="A116" s="32"/>
      <c r="B116" s="33"/>
      <c r="C116" s="33"/>
      <c r="D116" s="33"/>
      <c r="E116" s="33"/>
      <c r="F116" s="34" t="s">
        <v>144</v>
      </c>
      <c r="G116" s="33"/>
      <c r="H116" s="34" t="s">
        <v>144</v>
      </c>
      <c r="I116" s="33" t="str">
        <f t="shared" si="3"/>
        <v/>
      </c>
      <c r="J116" s="33"/>
    </row>
    <row r="117" spans="1:10" ht="22.05" customHeight="1" x14ac:dyDescent="0.45">
      <c r="A117" s="35"/>
      <c r="B117" s="36"/>
      <c r="C117" s="36"/>
      <c r="D117" s="36"/>
      <c r="E117" s="36"/>
      <c r="F117" s="34" t="s">
        <v>144</v>
      </c>
      <c r="G117" s="36"/>
      <c r="H117" s="34" t="s">
        <v>144</v>
      </c>
      <c r="I117" s="36" t="str">
        <f t="shared" si="3"/>
        <v/>
      </c>
      <c r="J117" s="36"/>
    </row>
    <row r="118" spans="1:10" ht="22.05" customHeight="1" x14ac:dyDescent="0.45">
      <c r="A118" s="32"/>
      <c r="B118" s="33"/>
      <c r="C118" s="33"/>
      <c r="D118" s="33"/>
      <c r="E118" s="33"/>
      <c r="F118" s="34" t="s">
        <v>144</v>
      </c>
      <c r="G118" s="33"/>
      <c r="H118" s="34" t="s">
        <v>144</v>
      </c>
      <c r="I118" s="33" t="str">
        <f t="shared" si="3"/>
        <v/>
      </c>
      <c r="J118" s="33"/>
    </row>
    <row r="119" spans="1:10" x14ac:dyDescent="0.45">
      <c r="A119" s="37"/>
      <c r="B119" s="37"/>
      <c r="C119" s="37"/>
      <c r="D119" s="37"/>
      <c r="E119" s="37"/>
      <c r="F119" s="38" t="s">
        <v>144</v>
      </c>
      <c r="G119" s="37"/>
      <c r="H119" s="38" t="s">
        <v>144</v>
      </c>
      <c r="I119" s="37" t="str">
        <f t="shared" si="3"/>
        <v/>
      </c>
      <c r="J119" s="37"/>
    </row>
    <row r="120" spans="1:10" x14ac:dyDescent="0.45">
      <c r="A120" s="37"/>
      <c r="B120" s="37"/>
      <c r="C120" s="37"/>
      <c r="D120" s="37"/>
      <c r="E120" s="37"/>
      <c r="F120" s="38" t="s">
        <v>144</v>
      </c>
      <c r="G120" s="37"/>
      <c r="H120" s="38" t="s">
        <v>144</v>
      </c>
      <c r="I120" s="37" t="str">
        <f t="shared" si="3"/>
        <v/>
      </c>
      <c r="J120" s="37"/>
    </row>
  </sheetData>
  <autoFilter ref="A3:J120" xr:uid="{00000000-0009-0000-0000-000007000000}"/>
  <mergeCells count="2">
    <mergeCell ref="A1:J1"/>
    <mergeCell ref="A2:J2"/>
  </mergeCells>
  <conditionalFormatting sqref="F4:F120">
    <cfRule type="expression" dxfId="6" priority="8">
      <formula>F4="Paid"</formula>
    </cfRule>
    <cfRule type="expression" dxfId="5" priority="10">
      <formula>F4="Pending"</formula>
    </cfRule>
  </conditionalFormatting>
  <conditionalFormatting sqref="H4:H120">
    <cfRule type="expression" dxfId="4" priority="9">
      <formula>H4="Paid"</formula>
    </cfRule>
    <cfRule type="expression" dxfId="3" priority="11">
      <formula>H4="Pending"</formula>
    </cfRule>
  </conditionalFormatting>
  <conditionalFormatting sqref="I4:I120">
    <cfRule type="expression" dxfId="2" priority="12">
      <formula>I4="Both Paid"</formula>
    </cfRule>
    <cfRule type="expression" dxfId="1" priority="13">
      <formula>I4="Both Pending"</formula>
    </cfRule>
    <cfRule type="expression" dxfId="0" priority="14">
      <formula>I4="Partially Paid"</formula>
    </cfRule>
  </conditionalFormatting>
  <dataValidations count="1">
    <dataValidation type="list" allowBlank="1" showInputMessage="1" showErrorMessage="1" errorTitle="Choose from dropdown" error="Use Pending, Paid, or Not Applicable." promptTitle="Team payment" prompt="Select Paid when the team's GPay arrives; otherwise leave Pending." sqref="F4:F120 H4:H120" xr:uid="{00000000-0002-0000-0700-000000000000}">
      <formula1>"Pending,Paid,Not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How to Schedule</vt:lpstr>
      <vt:lpstr>Ground Schedule</vt:lpstr>
      <vt:lpstr>Leather Payment Tracker</vt:lpstr>
      <vt:lpstr>Read Me</vt:lpstr>
      <vt:lpstr>Tournament Lists</vt:lpstr>
      <vt:lpstr>Tournament Teams</vt:lpstr>
      <vt:lpstr>Round Robin Fixtures</vt:lpstr>
      <vt:lpstr>Previous Payment Tracker</vt:lpstr>
      <vt:lpstr>'Ground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Dileep Yadav</cp:lastModifiedBy>
  <dcterms:created xsi:type="dcterms:W3CDTF">2026-10-14T20:04:21Z</dcterms:created>
  <dcterms:modified xsi:type="dcterms:W3CDTF">2026-10-14T20:57:04Z</dcterms:modified>
</cp:coreProperties>
</file>